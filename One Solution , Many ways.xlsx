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202300"/>
  <mc:AlternateContent xmlns:mc="http://schemas.openxmlformats.org/markup-compatibility/2006">
    <mc:Choice Requires="x15">
      <x15ac:absPath xmlns:x15ac="http://schemas.microsoft.com/office/spreadsheetml/2010/11/ac" url="C:\Users\Aashish Soni\Downloads\"/>
    </mc:Choice>
  </mc:AlternateContent>
  <xr:revisionPtr revIDLastSave="0" documentId="8_{63429B40-B351-41FE-986A-6E355F2499EA}" xr6:coauthVersionLast="47" xr6:coauthVersionMax="47" xr10:uidLastSave="{00000000-0000-0000-0000-000000000000}"/>
  <bookViews>
    <workbookView xWindow="-108" yWindow="-108" windowWidth="23256" windowHeight="12456" activeTab="1" xr2:uid="{6C81E643-37C8-48F2-8AC9-85A6A2F13892}"/>
  </bookViews>
  <sheets>
    <sheet name="Sheet1" sheetId="1" r:id="rId1"/>
    <sheet name="Sheet2" sheetId="2" r:id="rId2"/>
  </sheets>
  <definedNames>
    <definedName name="_xlnm._FilterDatabase" localSheetId="0" hidden="1">Sheet1!$A$1:$D$101</definedName>
    <definedName name="Slicer_Employee">#N/A</definedName>
  </definedNames>
  <calcPr calcId="191029"/>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02" i="1" l="1"/>
  <c r="F11" i="1" a="1"/>
  <c r="G2" i="1" a="1"/>
  <c r="F3" i="1" a="1"/>
  <c r="G3" i="1" l="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<sst xmlns="http://schemas.openxmlformats.org/spreadsheetml/2006/main" count="624" uniqueCount="49">
  <si>
    <t>Employee</t>
  </si>
  <si>
    <t>Expense Type</t>
  </si>
  <si>
    <t>Payment Type</t>
  </si>
  <si>
    <t>Amount</t>
  </si>
  <si>
    <t>Rahul</t>
  </si>
  <si>
    <t>Travel</t>
  </si>
  <si>
    <t>Card</t>
  </si>
  <si>
    <t>Priya</t>
  </si>
  <si>
    <t>Meals</t>
  </si>
  <si>
    <t>Cash</t>
  </si>
  <si>
    <t>Arjun</t>
  </si>
  <si>
    <t>Hotel</t>
  </si>
  <si>
    <t>Sneha</t>
  </si>
  <si>
    <t>Vikram</t>
  </si>
  <si>
    <t>Neha</t>
  </si>
  <si>
    <t>Karan</t>
  </si>
  <si>
    <t>Aisha</t>
  </si>
  <si>
    <t>Rohan</t>
  </si>
  <si>
    <t>Meera</t>
  </si>
  <si>
    <t>Amit</t>
  </si>
  <si>
    <t>Pooja</t>
  </si>
  <si>
    <t>Sanjay</t>
  </si>
  <si>
    <t>Anita</t>
  </si>
  <si>
    <t>Deepak</t>
  </si>
  <si>
    <t>Nisha</t>
  </si>
  <si>
    <t>Manish</t>
  </si>
  <si>
    <t>Kavita</t>
  </si>
  <si>
    <t>Ritu</t>
  </si>
  <si>
    <t>Gaurav</t>
  </si>
  <si>
    <t>Abhishek</t>
  </si>
  <si>
    <t>Divya</t>
  </si>
  <si>
    <t>Tarun</t>
  </si>
  <si>
    <t>Komal</t>
  </si>
  <si>
    <t>Suresh</t>
  </si>
  <si>
    <t>Pallavi</t>
  </si>
  <si>
    <t>Rakesh</t>
  </si>
  <si>
    <t>Simran</t>
  </si>
  <si>
    <t>Harish</t>
  </si>
  <si>
    <t>Varun</t>
  </si>
  <si>
    <t>Office Supplies</t>
  </si>
  <si>
    <t>Software Services</t>
  </si>
  <si>
    <t>Trade Shows</t>
  </si>
  <si>
    <t>SUMIFS</t>
  </si>
  <si>
    <t>PIVOTBY</t>
  </si>
  <si>
    <t>Total</t>
  </si>
  <si>
    <t>Sum of Amount</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</si>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</sst>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6</xdr:col>
      <xdr:colOff>449580</xdr:colOff>
      <xdr:row>3</xdr:row>
      <xdr:rowOff>160020</xdr:rowOff>
    </xdr:from>
    <xdr:to>
      <xdr:col>9</xdr:col>
      <xdr:colOff>45720</xdr:colOff>
      <xdr:row>17</xdr:row>
      <xdr:rowOff>180975</xdr:rowOff>
    </xdr:to>
    <mc:AlternateContent xmlns:mc="http://schemas.openxmlformats.org/markup-compatibility/2006">
      <mc:Choice xmlns:a14="http://schemas.microsoft.com/office/drawing/2010/main" Requires="a14">
        <xdr:graphicFrame macro="">
          <xdr:nvGraphicFramePr>
            <xdr:cNvPr id="4" name="Employee">
              <a:extLst>
                <a:ext uri="{FF2B5EF4-FFF2-40B4-BE49-F238E27FC236}">
                  <a16:creationId xmlns:a16="http://schemas.microsoft.com/office/drawing/2014/main" id="{8567875D-D3FD-5CE8-BFEE-314A5C1F99D7}"/>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5463540" y="708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shish Soni" refreshedDate="46165.958083449077" createdVersion="8" refreshedVersion="8" minRefreshableVersion="3" recordCount="100" xr:uid="{ABADA7D9-A202-41A5-B07F-1B27140BD85D}">
  <cacheSource type="worksheet">
    <worksheetSource name="Data"/>
  </cacheSource>
  <cacheFields count="4">
    <cacheField name="Employee" numFmtId="0">
      <sharedItems count="30">
        <s v="Rahul"/>
        <s v="Priya"/>
        <s v="Arjun"/>
        <s v="Sneha"/>
        <s v="Vikram"/>
        <s v="Neha"/>
        <s v="Karan"/>
        <s v="Aisha"/>
        <s v="Rohan"/>
        <s v="Meera"/>
        <s v="Amit"/>
        <s v="Pooja"/>
        <s v="Sanjay"/>
        <s v="Anita"/>
        <s v="Deepak"/>
        <s v="Nisha"/>
        <s v="Manish"/>
        <s v="Kavita"/>
        <s v="Ritu"/>
        <s v="Gaurav"/>
        <s v="Abhishek"/>
        <s v="Divya"/>
        <s v="Tarun"/>
        <s v="Komal"/>
        <s v="Suresh"/>
        <s v="Pallavi"/>
        <s v="Rakesh"/>
        <s v="Simran"/>
        <s v="Harish"/>
        <s v="Varun"/>
      </sharedItems>
    </cacheField>
    <cacheField name="Expense Type" numFmtId="0">
      <sharedItems count="6">
        <s v="Travel"/>
        <s v="Meals"/>
        <s v="Hotel"/>
        <s v="Office Supplies"/>
        <s v="Software Services"/>
        <s v="Trade Shows"/>
      </sharedItems>
    </cacheField>
    <cacheField name="Payment Type" numFmtId="0">
      <sharedItems count="2">
        <s v="Card"/>
        <s v="Cash"/>
      </sharedItems>
    </cacheField>
    <cacheField name="Amount" numFmtId="0">
      <sharedItems containsSemiMixedTypes="0" containsString="0" containsNumber="1" containsInteger="1" minValue="420" maxValue="6400"/>
    </cacheField>
  </cacheFields>
  <extLst>
    <ext xmlns:x14="http://schemas.microsoft.com/office/spreadsheetml/2009/9/main" uri="{725AE2AE-9491-48be-B2B4-4EB974FC3084}">
      <x14:pivotCacheDefinition pivotCacheId="1110927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1850"/>
  </r>
  <r>
    <x v="1"/>
    <x v="1"/>
    <x v="1"/>
    <n v="420"/>
  </r>
  <r>
    <x v="2"/>
    <x v="2"/>
    <x v="0"/>
    <n v="5200"/>
  </r>
  <r>
    <x v="3"/>
    <x v="0"/>
    <x v="1"/>
    <n v="2400"/>
  </r>
  <r>
    <x v="4"/>
    <x v="1"/>
    <x v="0"/>
    <n v="650"/>
  </r>
  <r>
    <x v="5"/>
    <x v="2"/>
    <x v="1"/>
    <n v="4300"/>
  </r>
  <r>
    <x v="6"/>
    <x v="0"/>
    <x v="0"/>
    <n v="3100"/>
  </r>
  <r>
    <x v="7"/>
    <x v="1"/>
    <x v="1"/>
    <n v="550"/>
  </r>
  <r>
    <x v="8"/>
    <x v="2"/>
    <x v="0"/>
    <n v="6100"/>
  </r>
  <r>
    <x v="9"/>
    <x v="0"/>
    <x v="0"/>
    <n v="2750"/>
  </r>
  <r>
    <x v="10"/>
    <x v="1"/>
    <x v="1"/>
    <n v="720"/>
  </r>
  <r>
    <x v="11"/>
    <x v="2"/>
    <x v="0"/>
    <n v="4800"/>
  </r>
  <r>
    <x v="12"/>
    <x v="0"/>
    <x v="1"/>
    <n v="1950"/>
  </r>
  <r>
    <x v="13"/>
    <x v="1"/>
    <x v="0"/>
    <n v="890"/>
  </r>
  <r>
    <x v="14"/>
    <x v="2"/>
    <x v="1"/>
    <n v="5300"/>
  </r>
  <r>
    <x v="15"/>
    <x v="0"/>
    <x v="0"/>
    <n v="2200"/>
  </r>
  <r>
    <x v="16"/>
    <x v="1"/>
    <x v="1"/>
    <n v="610"/>
  </r>
  <r>
    <x v="17"/>
    <x v="2"/>
    <x v="0"/>
    <n v="4500"/>
  </r>
  <r>
    <x v="18"/>
    <x v="0"/>
    <x v="1"/>
    <n v="2800"/>
  </r>
  <r>
    <x v="19"/>
    <x v="1"/>
    <x v="0"/>
    <n v="770"/>
  </r>
  <r>
    <x v="20"/>
    <x v="2"/>
    <x v="1"/>
    <n v="5900"/>
  </r>
  <r>
    <x v="21"/>
    <x v="0"/>
    <x v="0"/>
    <n v="3300"/>
  </r>
  <r>
    <x v="22"/>
    <x v="1"/>
    <x v="1"/>
    <n v="460"/>
  </r>
  <r>
    <x v="23"/>
    <x v="2"/>
    <x v="0"/>
    <n v="6200"/>
  </r>
  <r>
    <x v="24"/>
    <x v="0"/>
    <x v="1"/>
    <n v="2500"/>
  </r>
  <r>
    <x v="25"/>
    <x v="1"/>
    <x v="0"/>
    <n v="810"/>
  </r>
  <r>
    <x v="26"/>
    <x v="2"/>
    <x v="1"/>
    <n v="4100"/>
  </r>
  <r>
    <x v="27"/>
    <x v="0"/>
    <x v="0"/>
    <n v="2950"/>
  </r>
  <r>
    <x v="28"/>
    <x v="1"/>
    <x v="1"/>
    <n v="530"/>
  </r>
  <r>
    <x v="29"/>
    <x v="2"/>
    <x v="0"/>
    <n v="5600"/>
  </r>
  <r>
    <x v="0"/>
    <x v="0"/>
    <x v="1"/>
    <n v="1800"/>
  </r>
  <r>
    <x v="1"/>
    <x v="1"/>
    <x v="0"/>
    <n v="690"/>
  </r>
  <r>
    <x v="2"/>
    <x v="2"/>
    <x v="1"/>
    <n v="5000"/>
  </r>
  <r>
    <x v="3"/>
    <x v="0"/>
    <x v="0"/>
    <n v="2600"/>
  </r>
  <r>
    <x v="4"/>
    <x v="1"/>
    <x v="1"/>
    <n v="580"/>
  </r>
  <r>
    <x v="5"/>
    <x v="2"/>
    <x v="0"/>
    <n v="4700"/>
  </r>
  <r>
    <x v="6"/>
    <x v="0"/>
    <x v="1"/>
    <n v="2100"/>
  </r>
  <r>
    <x v="7"/>
    <x v="1"/>
    <x v="0"/>
    <n v="740"/>
  </r>
  <r>
    <x v="8"/>
    <x v="2"/>
    <x v="1"/>
    <n v="6400"/>
  </r>
  <r>
    <x v="9"/>
    <x v="0"/>
    <x v="0"/>
    <n v="3200"/>
  </r>
  <r>
    <x v="10"/>
    <x v="1"/>
    <x v="1"/>
    <n v="660"/>
  </r>
  <r>
    <x v="11"/>
    <x v="2"/>
    <x v="0"/>
    <n v="5100"/>
  </r>
  <r>
    <x v="12"/>
    <x v="0"/>
    <x v="1"/>
    <n v="2300"/>
  </r>
  <r>
    <x v="13"/>
    <x v="1"/>
    <x v="0"/>
    <n v="920"/>
  </r>
  <r>
    <x v="14"/>
    <x v="2"/>
    <x v="1"/>
    <n v="5700"/>
  </r>
  <r>
    <x v="15"/>
    <x v="0"/>
    <x v="0"/>
    <n v="2450"/>
  </r>
  <r>
    <x v="16"/>
    <x v="1"/>
    <x v="1"/>
    <n v="490"/>
  </r>
  <r>
    <x v="17"/>
    <x v="2"/>
    <x v="0"/>
    <n v="4950"/>
  </r>
  <r>
    <x v="18"/>
    <x v="0"/>
    <x v="1"/>
    <n v="3000"/>
  </r>
  <r>
    <x v="19"/>
    <x v="1"/>
    <x v="0"/>
    <n v="850"/>
  </r>
  <r>
    <x v="0"/>
    <x v="3"/>
    <x v="0"/>
    <n v="1850"/>
  </r>
  <r>
    <x v="1"/>
    <x v="4"/>
    <x v="1"/>
    <n v="420"/>
  </r>
  <r>
    <x v="2"/>
    <x v="5"/>
    <x v="0"/>
    <n v="5200"/>
  </r>
  <r>
    <x v="3"/>
    <x v="3"/>
    <x v="1"/>
    <n v="2400"/>
  </r>
  <r>
    <x v="4"/>
    <x v="4"/>
    <x v="0"/>
    <n v="650"/>
  </r>
  <r>
    <x v="5"/>
    <x v="5"/>
    <x v="1"/>
    <n v="4300"/>
  </r>
  <r>
    <x v="6"/>
    <x v="3"/>
    <x v="0"/>
    <n v="3100"/>
  </r>
  <r>
    <x v="7"/>
    <x v="4"/>
    <x v="1"/>
    <n v="550"/>
  </r>
  <r>
    <x v="8"/>
    <x v="5"/>
    <x v="0"/>
    <n v="6100"/>
  </r>
  <r>
    <x v="9"/>
    <x v="3"/>
    <x v="0"/>
    <n v="2750"/>
  </r>
  <r>
    <x v="10"/>
    <x v="4"/>
    <x v="1"/>
    <n v="720"/>
  </r>
  <r>
    <x v="11"/>
    <x v="5"/>
    <x v="0"/>
    <n v="4800"/>
  </r>
  <r>
    <x v="12"/>
    <x v="3"/>
    <x v="1"/>
    <n v="1950"/>
  </r>
  <r>
    <x v="13"/>
    <x v="4"/>
    <x v="0"/>
    <n v="890"/>
  </r>
  <r>
    <x v="14"/>
    <x v="5"/>
    <x v="1"/>
    <n v="5300"/>
  </r>
  <r>
    <x v="15"/>
    <x v="3"/>
    <x v="0"/>
    <n v="2200"/>
  </r>
  <r>
    <x v="16"/>
    <x v="4"/>
    <x v="1"/>
    <n v="610"/>
  </r>
  <r>
    <x v="17"/>
    <x v="5"/>
    <x v="0"/>
    <n v="4500"/>
  </r>
  <r>
    <x v="18"/>
    <x v="3"/>
    <x v="1"/>
    <n v="2800"/>
  </r>
  <r>
    <x v="19"/>
    <x v="4"/>
    <x v="0"/>
    <n v="770"/>
  </r>
  <r>
    <x v="20"/>
    <x v="5"/>
    <x v="1"/>
    <n v="5900"/>
  </r>
  <r>
    <x v="21"/>
    <x v="3"/>
    <x v="0"/>
    <n v="3300"/>
  </r>
  <r>
    <x v="22"/>
    <x v="4"/>
    <x v="1"/>
    <n v="460"/>
  </r>
  <r>
    <x v="23"/>
    <x v="5"/>
    <x v="0"/>
    <n v="6200"/>
  </r>
  <r>
    <x v="24"/>
    <x v="3"/>
    <x v="1"/>
    <n v="2500"/>
  </r>
  <r>
    <x v="25"/>
    <x v="4"/>
    <x v="0"/>
    <n v="810"/>
  </r>
  <r>
    <x v="26"/>
    <x v="5"/>
    <x v="1"/>
    <n v="4100"/>
  </r>
  <r>
    <x v="27"/>
    <x v="3"/>
    <x v="0"/>
    <n v="2950"/>
  </r>
  <r>
    <x v="28"/>
    <x v="4"/>
    <x v="1"/>
    <n v="530"/>
  </r>
  <r>
    <x v="29"/>
    <x v="5"/>
    <x v="0"/>
    <n v="5600"/>
  </r>
  <r>
    <x v="0"/>
    <x v="3"/>
    <x v="1"/>
    <n v="1800"/>
  </r>
  <r>
    <x v="1"/>
    <x v="4"/>
    <x v="0"/>
    <n v="690"/>
  </r>
  <r>
    <x v="2"/>
    <x v="5"/>
    <x v="1"/>
    <n v="5000"/>
  </r>
  <r>
    <x v="3"/>
    <x v="3"/>
    <x v="0"/>
    <n v="2600"/>
  </r>
  <r>
    <x v="4"/>
    <x v="4"/>
    <x v="1"/>
    <n v="580"/>
  </r>
  <r>
    <x v="5"/>
    <x v="5"/>
    <x v="0"/>
    <n v="4700"/>
  </r>
  <r>
    <x v="6"/>
    <x v="3"/>
    <x v="1"/>
    <n v="2100"/>
  </r>
  <r>
    <x v="7"/>
    <x v="4"/>
    <x v="0"/>
    <n v="740"/>
  </r>
  <r>
    <x v="8"/>
    <x v="5"/>
    <x v="1"/>
    <n v="6400"/>
  </r>
  <r>
    <x v="9"/>
    <x v="3"/>
    <x v="0"/>
    <n v="3200"/>
  </r>
  <r>
    <x v="10"/>
    <x v="4"/>
    <x v="1"/>
    <n v="660"/>
  </r>
  <r>
    <x v="11"/>
    <x v="5"/>
    <x v="0"/>
    <n v="5100"/>
  </r>
  <r>
    <x v="12"/>
    <x v="3"/>
    <x v="1"/>
    <n v="2300"/>
  </r>
  <r>
    <x v="13"/>
    <x v="4"/>
    <x v="0"/>
    <n v="920"/>
  </r>
  <r>
    <x v="14"/>
    <x v="5"/>
    <x v="1"/>
    <n v="5700"/>
  </r>
  <r>
    <x v="15"/>
    <x v="3"/>
    <x v="0"/>
    <n v="2450"/>
  </r>
  <r>
    <x v="16"/>
    <x v="4"/>
    <x v="1"/>
    <n v="490"/>
  </r>
  <r>
    <x v="17"/>
    <x v="5"/>
    <x v="0"/>
    <n v="4950"/>
  </r>
  <r>
    <x v="18"/>
    <x v="3"/>
    <x v="1"/>
    <n v="3000"/>
  </r>
  <r>
    <x v="19"/>
    <x v="4"/>
    <x v="0"/>
    <n v="8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D515D9-D06D-48D4-9DAA-5B13829B26C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N11" firstHeaderRow="1" firstDataRow="2" firstDataCol="1"/>
  <pivotFields count="4">
    <pivotField showAll="0">
      <items count="31">
        <item x="20"/>
        <item x="7"/>
        <item x="10"/>
        <item x="13"/>
        <item x="2"/>
        <item x="14"/>
        <item x="21"/>
        <item x="19"/>
        <item x="28"/>
        <item x="6"/>
        <item x="17"/>
        <item x="23"/>
        <item x="16"/>
        <item x="9"/>
        <item x="5"/>
        <item x="15"/>
        <item x="25"/>
        <item x="11"/>
        <item x="1"/>
        <item x="0"/>
        <item x="26"/>
        <item x="18"/>
        <item x="8"/>
        <item x="12"/>
        <item x="27"/>
        <item x="3"/>
        <item x="24"/>
        <item x="22"/>
        <item x="29"/>
        <item x="4"/>
        <item t="default"/>
      </items>
    </pivotField>
    <pivotField axis="axisRow" showAll="0">
      <items count="7">
        <item x="1"/>
        <item x="2"/>
        <item x="3"/>
        <item x="4"/>
        <item x="5"/>
        <item x="0"/>
        <item t="default"/>
      </items>
    </pivotField>
    <pivotField axis="axisCol" showAll="0">
      <items count="3">
        <item x="0"/>
        <item x="1"/>
        <item t="default"/>
      </items>
    </pivotField>
    <pivotField dataField="1" showAll="0"/>
  </pivotFields>
  <rowFields count="1">
    <field x="1"/>
  </rowFields>
  <rowItems count="7">
    <i>
      <x/>
    </i>
    <i>
      <x v="1"/>
    </i>
    <i>
      <x v="2"/>
    </i>
    <i>
      <x v="3"/>
    </i>
    <i>
      <x v="4"/>
    </i>
    <i>
      <x v="5"/>
    </i>
    <i t="grand">
      <x/>
    </i>
  </rowItems>
  <colFields count="1">
    <field x="2"/>
  </colFields>
  <colItems count="3">
    <i>
      <x/>
    </i>
    <i>
      <x v="1"/>
    </i>
    <i t="grand">
      <x/>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348661FC-2AA5-4FC4-8019-4BC1EFF7921A}" sourceName="Employee">
  <pivotTables>
    <pivotTable tabId="1" name="PivotTable1"/>
  </pivotTables>
  <data>
    <tabular pivotCacheId="1110927229">
      <items count="30">
        <i x="20" s="1"/>
        <i x="7" s="1"/>
        <i x="10" s="1"/>
        <i x="13" s="1"/>
        <i x="2" s="1"/>
        <i x="14" s="1"/>
        <i x="21" s="1"/>
        <i x="19" s="1"/>
        <i x="28" s="1"/>
        <i x="6" s="1"/>
        <i x="17" s="1"/>
        <i x="23" s="1"/>
        <i x="16" s="1"/>
        <i x="9" s="1"/>
        <i x="5" s="1"/>
        <i x="15" s="1"/>
        <i x="25" s="1"/>
        <i x="11" s="1"/>
        <i x="1" s="1"/>
        <i x="0" s="1"/>
        <i x="26" s="1"/>
        <i x="18" s="1"/>
        <i x="8" s="1"/>
        <i x="12" s="1"/>
        <i x="27" s="1"/>
        <i x="3" s="1"/>
        <i x="24" s="1"/>
        <i x="22" s="1"/>
        <i x="29"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99AECBF2-40E1-4B07-9396-89C9531E1C6A}" cache="Slicer_Employee" caption="Employe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2014C8-49CD-4F77-B71E-BE31D6AA8C23}" name="Data" displayName="Data" ref="A1:D102" totalsRowCount="1">
  <autoFilter ref="A1:D101" xr:uid="{032014C8-49CD-4F77-B71E-BE31D6AA8C23}"/>
  <tableColumns count="4">
    <tableColumn id="1" xr3:uid="{41C8A648-BAAC-467A-8702-B74E8A215DCB}" name="Employee" totalsRowLabel="Total"/>
    <tableColumn id="2" xr3:uid="{0153830D-28FF-49C7-A825-D2EFB71B5BA5}" name="Expense Type"/>
    <tableColumn id="3" xr3:uid="{B164FB63-75A9-49A3-A00A-18712F19EAA3}" name="Payment Type"/>
    <tableColumn id="4" xr3:uid="{46B97FD9-1193-4AD7-9744-EBBF011FB276}" name="Amount"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03640-3E6B-4A5C-9CA4-F8E9AE497FF6}">
  <dimension ref="A1:N102"/>
  <sheetViews>
    <sheetView workbookViewId="0">
      <selection activeCell="G22" sqref="G22"/>
    </sheetView>
  </sheetViews>
  <sheetFormatPr defaultRowHeight="14.4" x14ac:dyDescent="0.3"/>
  <cols>
    <col min="1" max="1" width="11.109375" customWidth="1"/>
    <col min="2" max="2" width="14" customWidth="1"/>
    <col min="3" max="3" width="14.44140625" customWidth="1"/>
    <col min="4" max="4" width="9.33203125" customWidth="1"/>
    <col min="6" max="6" width="15.33203125" bestFit="1" customWidth="1"/>
    <col min="7" max="7" width="11.6640625" bestFit="1" customWidth="1"/>
    <col min="8" max="8" width="12" bestFit="1" customWidth="1"/>
    <col min="11" max="11" width="15.33203125" bestFit="1" customWidth="1"/>
    <col min="12" max="12" width="15.5546875" bestFit="1" customWidth="1"/>
    <col min="13" max="13" width="7" bestFit="1" customWidth="1"/>
    <col min="14" max="14" width="10.5546875" bestFit="1" customWidth="1"/>
  </cols>
  <sheetData>
    <row r="1" spans="1:14" x14ac:dyDescent="0.3">
      <c r="A1" t="s">
        <v>0</v>
      </c>
      <c r="B1" t="s">
        <v>1</v>
      </c>
      <c r="C1" t="s">
        <v>2</v>
      </c>
      <c r="D1" t="s">
        <v>3</v>
      </c>
    </row>
    <row r="2" spans="1:14" x14ac:dyDescent="0.3">
      <c r="A2" t="s">
        <v>4</v>
      </c>
      <c r="B2" t="s">
        <v>5</v>
      </c>
      <c r="C2" t="s">
        <v>6</v>
      </c>
      <c r="D2">
        <v>1850</v>
      </c>
      <c r="F2" s="1" t="s">
        <v>42</v>
      </c>
      <c r="G2" t="str" cm="1">
        <f t="array" ref="G2:H2">TRANSPOSE(_xlfn.UNIQUE(C2:C101))</f>
        <v>Card</v>
      </c>
      <c r="H2" t="str">
        <v>Cash</v>
      </c>
    </row>
    <row r="3" spans="1:14" x14ac:dyDescent="0.3">
      <c r="A3" t="s">
        <v>7</v>
      </c>
      <c r="B3" t="s">
        <v>8</v>
      </c>
      <c r="C3" t="s">
        <v>9</v>
      </c>
      <c r="D3">
        <v>420</v>
      </c>
      <c r="F3" t="str" cm="1">
        <f t="array" ref="F3:F8">_xlfn.UNIQUE(B2:B101)</f>
        <v>Travel</v>
      </c>
      <c r="G3" cm="1">
        <f t="array" ref="G3:H8">SUMIFS(D2:D101,B2:B101,_xlfn.ANCHORARRAY(F3),C2:C101,_xlfn.ANCHORARRAY(G2))</f>
        <v>24400</v>
      </c>
      <c r="H3">
        <v>18850</v>
      </c>
      <c r="K3" s="3" t="s">
        <v>45</v>
      </c>
      <c r="L3" s="3" t="s">
        <v>48</v>
      </c>
    </row>
    <row r="4" spans="1:14" x14ac:dyDescent="0.3">
      <c r="A4" t="s">
        <v>10</v>
      </c>
      <c r="B4" t="s">
        <v>11</v>
      </c>
      <c r="C4" t="s">
        <v>6</v>
      </c>
      <c r="D4">
        <v>5200</v>
      </c>
      <c r="F4" t="str">
        <v>Meals</v>
      </c>
      <c r="G4">
        <v>6320</v>
      </c>
      <c r="H4">
        <v>5020</v>
      </c>
      <c r="K4" s="3" t="s">
        <v>46</v>
      </c>
      <c r="L4" t="s">
        <v>6</v>
      </c>
      <c r="M4" t="s">
        <v>9</v>
      </c>
      <c r="N4" t="s">
        <v>47</v>
      </c>
    </row>
    <row r="5" spans="1:14" x14ac:dyDescent="0.3">
      <c r="A5" t="s">
        <v>12</v>
      </c>
      <c r="B5" t="s">
        <v>5</v>
      </c>
      <c r="C5" t="s">
        <v>9</v>
      </c>
      <c r="D5">
        <v>2400</v>
      </c>
      <c r="F5" t="str">
        <v>Hotel</v>
      </c>
      <c r="G5">
        <v>47150</v>
      </c>
      <c r="H5">
        <v>36700</v>
      </c>
      <c r="K5" s="4" t="s">
        <v>8</v>
      </c>
      <c r="L5" s="2">
        <v>6320</v>
      </c>
      <c r="M5" s="2">
        <v>5020</v>
      </c>
      <c r="N5" s="2">
        <v>11340</v>
      </c>
    </row>
    <row r="6" spans="1:14" x14ac:dyDescent="0.3">
      <c r="A6" t="s">
        <v>13</v>
      </c>
      <c r="B6" t="s">
        <v>8</v>
      </c>
      <c r="C6" t="s">
        <v>6</v>
      </c>
      <c r="D6">
        <v>650</v>
      </c>
      <c r="F6" t="str">
        <v>Office Supplies</v>
      </c>
      <c r="G6">
        <v>24400</v>
      </c>
      <c r="H6">
        <v>18850</v>
      </c>
      <c r="K6" s="4" t="s">
        <v>11</v>
      </c>
      <c r="L6" s="2">
        <v>47150</v>
      </c>
      <c r="M6" s="2">
        <v>36700</v>
      </c>
      <c r="N6" s="2">
        <v>83850</v>
      </c>
    </row>
    <row r="7" spans="1:14" x14ac:dyDescent="0.3">
      <c r="A7" t="s">
        <v>14</v>
      </c>
      <c r="B7" t="s">
        <v>11</v>
      </c>
      <c r="C7" t="s">
        <v>9</v>
      </c>
      <c r="D7">
        <v>4300</v>
      </c>
      <c r="F7" t="str">
        <v>Software Services</v>
      </c>
      <c r="G7">
        <v>6320</v>
      </c>
      <c r="H7">
        <v>5020</v>
      </c>
      <c r="K7" s="4" t="s">
        <v>39</v>
      </c>
      <c r="L7" s="2">
        <v>24400</v>
      </c>
      <c r="M7" s="2">
        <v>18850</v>
      </c>
      <c r="N7" s="2">
        <v>43250</v>
      </c>
    </row>
    <row r="8" spans="1:14" x14ac:dyDescent="0.3">
      <c r="A8" t="s">
        <v>15</v>
      </c>
      <c r="B8" t="s">
        <v>5</v>
      </c>
      <c r="C8" t="s">
        <v>6</v>
      </c>
      <c r="D8">
        <v>3100</v>
      </c>
      <c r="F8" t="str">
        <v>Trade Shows</v>
      </c>
      <c r="G8">
        <v>47150</v>
      </c>
      <c r="H8">
        <v>36700</v>
      </c>
      <c r="K8" s="4" t="s">
        <v>40</v>
      </c>
      <c r="L8" s="2">
        <v>6320</v>
      </c>
      <c r="M8" s="2">
        <v>5020</v>
      </c>
      <c r="N8" s="2">
        <v>11340</v>
      </c>
    </row>
    <row r="9" spans="1:14" x14ac:dyDescent="0.3">
      <c r="A9" t="s">
        <v>16</v>
      </c>
      <c r="B9" t="s">
        <v>8</v>
      </c>
      <c r="C9" t="s">
        <v>9</v>
      </c>
      <c r="D9">
        <v>550</v>
      </c>
      <c r="K9" s="4" t="s">
        <v>41</v>
      </c>
      <c r="L9" s="2">
        <v>47150</v>
      </c>
      <c r="M9" s="2">
        <v>36700</v>
      </c>
      <c r="N9" s="2">
        <v>83850</v>
      </c>
    </row>
    <row r="10" spans="1:14" x14ac:dyDescent="0.3">
      <c r="A10" t="s">
        <v>17</v>
      </c>
      <c r="B10" t="s">
        <v>11</v>
      </c>
      <c r="C10" t="s">
        <v>6</v>
      </c>
      <c r="D10">
        <v>6100</v>
      </c>
      <c r="F10" t="s">
        <v>43</v>
      </c>
      <c r="K10" s="4" t="s">
        <v>5</v>
      </c>
      <c r="L10" s="2">
        <v>24400</v>
      </c>
      <c r="M10" s="2">
        <v>18850</v>
      </c>
      <c r="N10" s="2">
        <v>43250</v>
      </c>
    </row>
    <row r="11" spans="1:14" x14ac:dyDescent="0.3">
      <c r="A11" t="s">
        <v>18</v>
      </c>
      <c r="B11" t="s">
        <v>5</v>
      </c>
      <c r="C11" t="s">
        <v>6</v>
      </c>
      <c r="D11">
        <v>2750</v>
      </c>
      <c r="F11" t="str" cm="1">
        <f t="array" ref="F11:I18">_xlfn.PIVOTBY(B2:B101,C2:C101,D2:D101,_xleta.SUM)</f>
        <v/>
      </c>
      <c r="G11" t="str">
        <v>Card</v>
      </c>
      <c r="H11" t="str">
        <v>Cash</v>
      </c>
      <c r="I11" t="str">
        <v>Total</v>
      </c>
      <c r="K11" s="4" t="s">
        <v>47</v>
      </c>
      <c r="L11" s="2">
        <v>155740</v>
      </c>
      <c r="M11" s="2">
        <v>121140</v>
      </c>
      <c r="N11" s="2">
        <v>276880</v>
      </c>
    </row>
    <row r="12" spans="1:14" x14ac:dyDescent="0.3">
      <c r="A12" t="s">
        <v>19</v>
      </c>
      <c r="B12" t="s">
        <v>8</v>
      </c>
      <c r="C12" t="s">
        <v>9</v>
      </c>
      <c r="D12">
        <v>720</v>
      </c>
      <c r="F12" t="str">
        <v>Hotel</v>
      </c>
      <c r="G12">
        <v>47150</v>
      </c>
      <c r="H12">
        <v>36700</v>
      </c>
      <c r="I12">
        <v>83850</v>
      </c>
    </row>
    <row r="13" spans="1:14" x14ac:dyDescent="0.3">
      <c r="A13" t="s">
        <v>20</v>
      </c>
      <c r="B13" t="s">
        <v>11</v>
      </c>
      <c r="C13" t="s">
        <v>6</v>
      </c>
      <c r="D13">
        <v>4800</v>
      </c>
      <c r="F13" t="str">
        <v>Meals</v>
      </c>
      <c r="G13">
        <v>6320</v>
      </c>
      <c r="H13">
        <v>5020</v>
      </c>
      <c r="I13">
        <v>11340</v>
      </c>
    </row>
    <row r="14" spans="1:14" x14ac:dyDescent="0.3">
      <c r="A14" t="s">
        <v>21</v>
      </c>
      <c r="B14" t="s">
        <v>5</v>
      </c>
      <c r="C14" t="s">
        <v>9</v>
      </c>
      <c r="D14">
        <v>1950</v>
      </c>
      <c r="F14" t="str">
        <v>Office Supplies</v>
      </c>
      <c r="G14">
        <v>24400</v>
      </c>
      <c r="H14">
        <v>18850</v>
      </c>
      <c r="I14">
        <v>43250</v>
      </c>
    </row>
    <row r="15" spans="1:14" x14ac:dyDescent="0.3">
      <c r="A15" t="s">
        <v>22</v>
      </c>
      <c r="B15" t="s">
        <v>8</v>
      </c>
      <c r="C15" t="s">
        <v>6</v>
      </c>
      <c r="D15">
        <v>890</v>
      </c>
      <c r="F15" t="str">
        <v>Software Services</v>
      </c>
      <c r="G15">
        <v>6320</v>
      </c>
      <c r="H15">
        <v>5020</v>
      </c>
      <c r="I15">
        <v>11340</v>
      </c>
    </row>
    <row r="16" spans="1:14" x14ac:dyDescent="0.3">
      <c r="A16" t="s">
        <v>23</v>
      </c>
      <c r="B16" t="s">
        <v>11</v>
      </c>
      <c r="C16" t="s">
        <v>9</v>
      </c>
      <c r="D16">
        <v>5300</v>
      </c>
      <c r="F16" t="str">
        <v>Trade Shows</v>
      </c>
      <c r="G16">
        <v>47150</v>
      </c>
      <c r="H16">
        <v>36700</v>
      </c>
      <c r="I16">
        <v>83850</v>
      </c>
    </row>
    <row r="17" spans="1:9" x14ac:dyDescent="0.3">
      <c r="A17" t="s">
        <v>24</v>
      </c>
      <c r="B17" t="s">
        <v>5</v>
      </c>
      <c r="C17" t="s">
        <v>6</v>
      </c>
      <c r="D17">
        <v>2200</v>
      </c>
      <c r="F17" t="str">
        <v>Travel</v>
      </c>
      <c r="G17">
        <v>24400</v>
      </c>
      <c r="H17">
        <v>18850</v>
      </c>
      <c r="I17">
        <v>43250</v>
      </c>
    </row>
    <row r="18" spans="1:9" x14ac:dyDescent="0.3">
      <c r="A18" t="s">
        <v>25</v>
      </c>
      <c r="B18" t="s">
        <v>8</v>
      </c>
      <c r="C18" t="s">
        <v>9</v>
      </c>
      <c r="D18">
        <v>610</v>
      </c>
      <c r="F18" t="str">
        <v>Total</v>
      </c>
      <c r="G18">
        <v>155740</v>
      </c>
      <c r="H18">
        <v>121140</v>
      </c>
      <c r="I18">
        <v>276880</v>
      </c>
    </row>
    <row r="19" spans="1:9" x14ac:dyDescent="0.3">
      <c r="A19" t="s">
        <v>26</v>
      </c>
      <c r="B19" t="s">
        <v>11</v>
      </c>
      <c r="C19" t="s">
        <v>6</v>
      </c>
      <c r="D19">
        <v>4500</v>
      </c>
    </row>
    <row r="20" spans="1:9" x14ac:dyDescent="0.3">
      <c r="A20" t="s">
        <v>27</v>
      </c>
      <c r="B20" t="s">
        <v>5</v>
      </c>
      <c r="C20" t="s">
        <v>9</v>
      </c>
      <c r="D20">
        <v>2800</v>
      </c>
    </row>
    <row r="21" spans="1:9" x14ac:dyDescent="0.3">
      <c r="A21" t="s">
        <v>28</v>
      </c>
      <c r="B21" t="s">
        <v>8</v>
      </c>
      <c r="C21" t="s">
        <v>6</v>
      </c>
      <c r="D21">
        <v>770</v>
      </c>
    </row>
    <row r="22" spans="1:9" x14ac:dyDescent="0.3">
      <c r="A22" t="s">
        <v>29</v>
      </c>
      <c r="B22" t="s">
        <v>11</v>
      </c>
      <c r="C22" t="s">
        <v>9</v>
      </c>
      <c r="D22">
        <v>5900</v>
      </c>
    </row>
    <row r="23" spans="1:9" x14ac:dyDescent="0.3">
      <c r="A23" t="s">
        <v>30</v>
      </c>
      <c r="B23" t="s">
        <v>5</v>
      </c>
      <c r="C23" t="s">
        <v>6</v>
      </c>
      <c r="D23">
        <v>3300</v>
      </c>
    </row>
    <row r="24" spans="1:9" x14ac:dyDescent="0.3">
      <c r="A24" t="s">
        <v>31</v>
      </c>
      <c r="B24" t="s">
        <v>8</v>
      </c>
      <c r="C24" t="s">
        <v>9</v>
      </c>
      <c r="D24">
        <v>460</v>
      </c>
    </row>
    <row r="25" spans="1:9" x14ac:dyDescent="0.3">
      <c r="A25" t="s">
        <v>32</v>
      </c>
      <c r="B25" t="s">
        <v>11</v>
      </c>
      <c r="C25" t="s">
        <v>6</v>
      </c>
      <c r="D25">
        <v>6200</v>
      </c>
    </row>
    <row r="26" spans="1:9" x14ac:dyDescent="0.3">
      <c r="A26" t="s">
        <v>33</v>
      </c>
      <c r="B26" t="s">
        <v>5</v>
      </c>
      <c r="C26" t="s">
        <v>9</v>
      </c>
      <c r="D26">
        <v>2500</v>
      </c>
    </row>
    <row r="27" spans="1:9" x14ac:dyDescent="0.3">
      <c r="A27" t="s">
        <v>34</v>
      </c>
      <c r="B27" t="s">
        <v>8</v>
      </c>
      <c r="C27" t="s">
        <v>6</v>
      </c>
      <c r="D27">
        <v>810</v>
      </c>
    </row>
    <row r="28" spans="1:9" x14ac:dyDescent="0.3">
      <c r="A28" t="s">
        <v>35</v>
      </c>
      <c r="B28" t="s">
        <v>11</v>
      </c>
      <c r="C28" t="s">
        <v>9</v>
      </c>
      <c r="D28">
        <v>4100</v>
      </c>
    </row>
    <row r="29" spans="1:9" x14ac:dyDescent="0.3">
      <c r="A29" t="s">
        <v>36</v>
      </c>
      <c r="B29" t="s">
        <v>5</v>
      </c>
      <c r="C29" t="s">
        <v>6</v>
      </c>
      <c r="D29">
        <v>2950</v>
      </c>
    </row>
    <row r="30" spans="1:9" x14ac:dyDescent="0.3">
      <c r="A30" t="s">
        <v>37</v>
      </c>
      <c r="B30" t="s">
        <v>8</v>
      </c>
      <c r="C30" t="s">
        <v>9</v>
      </c>
      <c r="D30">
        <v>530</v>
      </c>
    </row>
    <row r="31" spans="1:9" x14ac:dyDescent="0.3">
      <c r="A31" t="s">
        <v>38</v>
      </c>
      <c r="B31" t="s">
        <v>11</v>
      </c>
      <c r="C31" t="s">
        <v>6</v>
      </c>
      <c r="D31">
        <v>5600</v>
      </c>
    </row>
    <row r="32" spans="1:9" x14ac:dyDescent="0.3">
      <c r="A32" t="s">
        <v>4</v>
      </c>
      <c r="B32" t="s">
        <v>5</v>
      </c>
      <c r="C32" t="s">
        <v>9</v>
      </c>
      <c r="D32">
        <v>1800</v>
      </c>
    </row>
    <row r="33" spans="1:4" x14ac:dyDescent="0.3">
      <c r="A33" t="s">
        <v>7</v>
      </c>
      <c r="B33" t="s">
        <v>8</v>
      </c>
      <c r="C33" t="s">
        <v>6</v>
      </c>
      <c r="D33">
        <v>690</v>
      </c>
    </row>
    <row r="34" spans="1:4" x14ac:dyDescent="0.3">
      <c r="A34" t="s">
        <v>10</v>
      </c>
      <c r="B34" t="s">
        <v>11</v>
      </c>
      <c r="C34" t="s">
        <v>9</v>
      </c>
      <c r="D34">
        <v>5000</v>
      </c>
    </row>
    <row r="35" spans="1:4" x14ac:dyDescent="0.3">
      <c r="A35" t="s">
        <v>12</v>
      </c>
      <c r="B35" t="s">
        <v>5</v>
      </c>
      <c r="C35" t="s">
        <v>6</v>
      </c>
      <c r="D35">
        <v>2600</v>
      </c>
    </row>
    <row r="36" spans="1:4" x14ac:dyDescent="0.3">
      <c r="A36" t="s">
        <v>13</v>
      </c>
      <c r="B36" t="s">
        <v>8</v>
      </c>
      <c r="C36" t="s">
        <v>9</v>
      </c>
      <c r="D36">
        <v>580</v>
      </c>
    </row>
    <row r="37" spans="1:4" x14ac:dyDescent="0.3">
      <c r="A37" t="s">
        <v>14</v>
      </c>
      <c r="B37" t="s">
        <v>11</v>
      </c>
      <c r="C37" t="s">
        <v>6</v>
      </c>
      <c r="D37">
        <v>4700</v>
      </c>
    </row>
    <row r="38" spans="1:4" x14ac:dyDescent="0.3">
      <c r="A38" t="s">
        <v>15</v>
      </c>
      <c r="B38" t="s">
        <v>5</v>
      </c>
      <c r="C38" t="s">
        <v>9</v>
      </c>
      <c r="D38">
        <v>2100</v>
      </c>
    </row>
    <row r="39" spans="1:4" x14ac:dyDescent="0.3">
      <c r="A39" t="s">
        <v>16</v>
      </c>
      <c r="B39" t="s">
        <v>8</v>
      </c>
      <c r="C39" t="s">
        <v>6</v>
      </c>
      <c r="D39">
        <v>740</v>
      </c>
    </row>
    <row r="40" spans="1:4" x14ac:dyDescent="0.3">
      <c r="A40" t="s">
        <v>17</v>
      </c>
      <c r="B40" t="s">
        <v>11</v>
      </c>
      <c r="C40" t="s">
        <v>9</v>
      </c>
      <c r="D40">
        <v>6400</v>
      </c>
    </row>
    <row r="41" spans="1:4" x14ac:dyDescent="0.3">
      <c r="A41" t="s">
        <v>18</v>
      </c>
      <c r="B41" t="s">
        <v>5</v>
      </c>
      <c r="C41" t="s">
        <v>6</v>
      </c>
      <c r="D41">
        <v>3200</v>
      </c>
    </row>
    <row r="42" spans="1:4" x14ac:dyDescent="0.3">
      <c r="A42" t="s">
        <v>19</v>
      </c>
      <c r="B42" t="s">
        <v>8</v>
      </c>
      <c r="C42" t="s">
        <v>9</v>
      </c>
      <c r="D42">
        <v>660</v>
      </c>
    </row>
    <row r="43" spans="1:4" x14ac:dyDescent="0.3">
      <c r="A43" t="s">
        <v>20</v>
      </c>
      <c r="B43" t="s">
        <v>11</v>
      </c>
      <c r="C43" t="s">
        <v>6</v>
      </c>
      <c r="D43">
        <v>5100</v>
      </c>
    </row>
    <row r="44" spans="1:4" x14ac:dyDescent="0.3">
      <c r="A44" t="s">
        <v>21</v>
      </c>
      <c r="B44" t="s">
        <v>5</v>
      </c>
      <c r="C44" t="s">
        <v>9</v>
      </c>
      <c r="D44">
        <v>2300</v>
      </c>
    </row>
    <row r="45" spans="1:4" x14ac:dyDescent="0.3">
      <c r="A45" t="s">
        <v>22</v>
      </c>
      <c r="B45" t="s">
        <v>8</v>
      </c>
      <c r="C45" t="s">
        <v>6</v>
      </c>
      <c r="D45">
        <v>920</v>
      </c>
    </row>
    <row r="46" spans="1:4" x14ac:dyDescent="0.3">
      <c r="A46" t="s">
        <v>23</v>
      </c>
      <c r="B46" t="s">
        <v>11</v>
      </c>
      <c r="C46" t="s">
        <v>9</v>
      </c>
      <c r="D46">
        <v>5700</v>
      </c>
    </row>
    <row r="47" spans="1:4" x14ac:dyDescent="0.3">
      <c r="A47" t="s">
        <v>24</v>
      </c>
      <c r="B47" t="s">
        <v>5</v>
      </c>
      <c r="C47" t="s">
        <v>6</v>
      </c>
      <c r="D47">
        <v>2450</v>
      </c>
    </row>
    <row r="48" spans="1:4" x14ac:dyDescent="0.3">
      <c r="A48" t="s">
        <v>25</v>
      </c>
      <c r="B48" t="s">
        <v>8</v>
      </c>
      <c r="C48" t="s">
        <v>9</v>
      </c>
      <c r="D48">
        <v>490</v>
      </c>
    </row>
    <row r="49" spans="1:4" x14ac:dyDescent="0.3">
      <c r="A49" t="s">
        <v>26</v>
      </c>
      <c r="B49" t="s">
        <v>11</v>
      </c>
      <c r="C49" t="s">
        <v>6</v>
      </c>
      <c r="D49">
        <v>4950</v>
      </c>
    </row>
    <row r="50" spans="1:4" x14ac:dyDescent="0.3">
      <c r="A50" t="s">
        <v>27</v>
      </c>
      <c r="B50" t="s">
        <v>5</v>
      </c>
      <c r="C50" t="s">
        <v>9</v>
      </c>
      <c r="D50">
        <v>3000</v>
      </c>
    </row>
    <row r="51" spans="1:4" x14ac:dyDescent="0.3">
      <c r="A51" t="s">
        <v>28</v>
      </c>
      <c r="B51" t="s">
        <v>8</v>
      </c>
      <c r="C51" t="s">
        <v>6</v>
      </c>
      <c r="D51">
        <v>850</v>
      </c>
    </row>
    <row r="52" spans="1:4" x14ac:dyDescent="0.3">
      <c r="A52" t="s">
        <v>4</v>
      </c>
      <c r="B52" t="s">
        <v>39</v>
      </c>
      <c r="C52" t="s">
        <v>6</v>
      </c>
      <c r="D52">
        <v>1850</v>
      </c>
    </row>
    <row r="53" spans="1:4" x14ac:dyDescent="0.3">
      <c r="A53" t="s">
        <v>7</v>
      </c>
      <c r="B53" t="s">
        <v>40</v>
      </c>
      <c r="C53" t="s">
        <v>9</v>
      </c>
      <c r="D53">
        <v>420</v>
      </c>
    </row>
    <row r="54" spans="1:4" x14ac:dyDescent="0.3">
      <c r="A54" t="s">
        <v>10</v>
      </c>
      <c r="B54" t="s">
        <v>41</v>
      </c>
      <c r="C54" t="s">
        <v>6</v>
      </c>
      <c r="D54">
        <v>5200</v>
      </c>
    </row>
    <row r="55" spans="1:4" x14ac:dyDescent="0.3">
      <c r="A55" t="s">
        <v>12</v>
      </c>
      <c r="B55" t="s">
        <v>39</v>
      </c>
      <c r="C55" t="s">
        <v>9</v>
      </c>
      <c r="D55">
        <v>2400</v>
      </c>
    </row>
    <row r="56" spans="1:4" x14ac:dyDescent="0.3">
      <c r="A56" t="s">
        <v>13</v>
      </c>
      <c r="B56" t="s">
        <v>40</v>
      </c>
      <c r="C56" t="s">
        <v>6</v>
      </c>
      <c r="D56">
        <v>650</v>
      </c>
    </row>
    <row r="57" spans="1:4" x14ac:dyDescent="0.3">
      <c r="A57" t="s">
        <v>14</v>
      </c>
      <c r="B57" t="s">
        <v>41</v>
      </c>
      <c r="C57" t="s">
        <v>9</v>
      </c>
      <c r="D57">
        <v>4300</v>
      </c>
    </row>
    <row r="58" spans="1:4" x14ac:dyDescent="0.3">
      <c r="A58" t="s">
        <v>15</v>
      </c>
      <c r="B58" t="s">
        <v>39</v>
      </c>
      <c r="C58" t="s">
        <v>6</v>
      </c>
      <c r="D58">
        <v>3100</v>
      </c>
    </row>
    <row r="59" spans="1:4" x14ac:dyDescent="0.3">
      <c r="A59" t="s">
        <v>16</v>
      </c>
      <c r="B59" t="s">
        <v>40</v>
      </c>
      <c r="C59" t="s">
        <v>9</v>
      </c>
      <c r="D59">
        <v>550</v>
      </c>
    </row>
    <row r="60" spans="1:4" x14ac:dyDescent="0.3">
      <c r="A60" t="s">
        <v>17</v>
      </c>
      <c r="B60" t="s">
        <v>41</v>
      </c>
      <c r="C60" t="s">
        <v>6</v>
      </c>
      <c r="D60">
        <v>6100</v>
      </c>
    </row>
    <row r="61" spans="1:4" x14ac:dyDescent="0.3">
      <c r="A61" t="s">
        <v>18</v>
      </c>
      <c r="B61" t="s">
        <v>39</v>
      </c>
      <c r="C61" t="s">
        <v>6</v>
      </c>
      <c r="D61">
        <v>2750</v>
      </c>
    </row>
    <row r="62" spans="1:4" x14ac:dyDescent="0.3">
      <c r="A62" t="s">
        <v>19</v>
      </c>
      <c r="B62" t="s">
        <v>40</v>
      </c>
      <c r="C62" t="s">
        <v>9</v>
      </c>
      <c r="D62">
        <v>720</v>
      </c>
    </row>
    <row r="63" spans="1:4" x14ac:dyDescent="0.3">
      <c r="A63" t="s">
        <v>20</v>
      </c>
      <c r="B63" t="s">
        <v>41</v>
      </c>
      <c r="C63" t="s">
        <v>6</v>
      </c>
      <c r="D63">
        <v>4800</v>
      </c>
    </row>
    <row r="64" spans="1:4" x14ac:dyDescent="0.3">
      <c r="A64" t="s">
        <v>21</v>
      </c>
      <c r="B64" t="s">
        <v>39</v>
      </c>
      <c r="C64" t="s">
        <v>9</v>
      </c>
      <c r="D64">
        <v>1950</v>
      </c>
    </row>
    <row r="65" spans="1:4" x14ac:dyDescent="0.3">
      <c r="A65" t="s">
        <v>22</v>
      </c>
      <c r="B65" t="s">
        <v>40</v>
      </c>
      <c r="C65" t="s">
        <v>6</v>
      </c>
      <c r="D65">
        <v>890</v>
      </c>
    </row>
    <row r="66" spans="1:4" x14ac:dyDescent="0.3">
      <c r="A66" t="s">
        <v>23</v>
      </c>
      <c r="B66" t="s">
        <v>41</v>
      </c>
      <c r="C66" t="s">
        <v>9</v>
      </c>
      <c r="D66">
        <v>5300</v>
      </c>
    </row>
    <row r="67" spans="1:4" x14ac:dyDescent="0.3">
      <c r="A67" t="s">
        <v>24</v>
      </c>
      <c r="B67" t="s">
        <v>39</v>
      </c>
      <c r="C67" t="s">
        <v>6</v>
      </c>
      <c r="D67">
        <v>2200</v>
      </c>
    </row>
    <row r="68" spans="1:4" x14ac:dyDescent="0.3">
      <c r="A68" t="s">
        <v>25</v>
      </c>
      <c r="B68" t="s">
        <v>40</v>
      </c>
      <c r="C68" t="s">
        <v>9</v>
      </c>
      <c r="D68">
        <v>610</v>
      </c>
    </row>
    <row r="69" spans="1:4" x14ac:dyDescent="0.3">
      <c r="A69" t="s">
        <v>26</v>
      </c>
      <c r="B69" t="s">
        <v>41</v>
      </c>
      <c r="C69" t="s">
        <v>6</v>
      </c>
      <c r="D69">
        <v>4500</v>
      </c>
    </row>
    <row r="70" spans="1:4" x14ac:dyDescent="0.3">
      <c r="A70" t="s">
        <v>27</v>
      </c>
      <c r="B70" t="s">
        <v>39</v>
      </c>
      <c r="C70" t="s">
        <v>9</v>
      </c>
      <c r="D70">
        <v>2800</v>
      </c>
    </row>
    <row r="71" spans="1:4" x14ac:dyDescent="0.3">
      <c r="A71" t="s">
        <v>28</v>
      </c>
      <c r="B71" t="s">
        <v>40</v>
      </c>
      <c r="C71" t="s">
        <v>6</v>
      </c>
      <c r="D71">
        <v>770</v>
      </c>
    </row>
    <row r="72" spans="1:4" x14ac:dyDescent="0.3">
      <c r="A72" t="s">
        <v>29</v>
      </c>
      <c r="B72" t="s">
        <v>41</v>
      </c>
      <c r="C72" t="s">
        <v>9</v>
      </c>
      <c r="D72">
        <v>5900</v>
      </c>
    </row>
    <row r="73" spans="1:4" x14ac:dyDescent="0.3">
      <c r="A73" t="s">
        <v>30</v>
      </c>
      <c r="B73" t="s">
        <v>39</v>
      </c>
      <c r="C73" t="s">
        <v>6</v>
      </c>
      <c r="D73">
        <v>3300</v>
      </c>
    </row>
    <row r="74" spans="1:4" x14ac:dyDescent="0.3">
      <c r="A74" t="s">
        <v>31</v>
      </c>
      <c r="B74" t="s">
        <v>40</v>
      </c>
      <c r="C74" t="s">
        <v>9</v>
      </c>
      <c r="D74">
        <v>460</v>
      </c>
    </row>
    <row r="75" spans="1:4" x14ac:dyDescent="0.3">
      <c r="A75" t="s">
        <v>32</v>
      </c>
      <c r="B75" t="s">
        <v>41</v>
      </c>
      <c r="C75" t="s">
        <v>6</v>
      </c>
      <c r="D75">
        <v>6200</v>
      </c>
    </row>
    <row r="76" spans="1:4" x14ac:dyDescent="0.3">
      <c r="A76" t="s">
        <v>33</v>
      </c>
      <c r="B76" t="s">
        <v>39</v>
      </c>
      <c r="C76" t="s">
        <v>9</v>
      </c>
      <c r="D76">
        <v>2500</v>
      </c>
    </row>
    <row r="77" spans="1:4" x14ac:dyDescent="0.3">
      <c r="A77" t="s">
        <v>34</v>
      </c>
      <c r="B77" t="s">
        <v>40</v>
      </c>
      <c r="C77" t="s">
        <v>6</v>
      </c>
      <c r="D77">
        <v>810</v>
      </c>
    </row>
    <row r="78" spans="1:4" x14ac:dyDescent="0.3">
      <c r="A78" t="s">
        <v>35</v>
      </c>
      <c r="B78" t="s">
        <v>41</v>
      </c>
      <c r="C78" t="s">
        <v>9</v>
      </c>
      <c r="D78">
        <v>4100</v>
      </c>
    </row>
    <row r="79" spans="1:4" x14ac:dyDescent="0.3">
      <c r="A79" t="s">
        <v>36</v>
      </c>
      <c r="B79" t="s">
        <v>39</v>
      </c>
      <c r="C79" t="s">
        <v>6</v>
      </c>
      <c r="D79">
        <v>2950</v>
      </c>
    </row>
    <row r="80" spans="1:4" x14ac:dyDescent="0.3">
      <c r="A80" t="s">
        <v>37</v>
      </c>
      <c r="B80" t="s">
        <v>40</v>
      </c>
      <c r="C80" t="s">
        <v>9</v>
      </c>
      <c r="D80">
        <v>530</v>
      </c>
    </row>
    <row r="81" spans="1:4" x14ac:dyDescent="0.3">
      <c r="A81" t="s">
        <v>38</v>
      </c>
      <c r="B81" t="s">
        <v>41</v>
      </c>
      <c r="C81" t="s">
        <v>6</v>
      </c>
      <c r="D81">
        <v>5600</v>
      </c>
    </row>
    <row r="82" spans="1:4" x14ac:dyDescent="0.3">
      <c r="A82" t="s">
        <v>4</v>
      </c>
      <c r="B82" t="s">
        <v>39</v>
      </c>
      <c r="C82" t="s">
        <v>9</v>
      </c>
      <c r="D82">
        <v>1800</v>
      </c>
    </row>
    <row r="83" spans="1:4" x14ac:dyDescent="0.3">
      <c r="A83" t="s">
        <v>7</v>
      </c>
      <c r="B83" t="s">
        <v>40</v>
      </c>
      <c r="C83" t="s">
        <v>6</v>
      </c>
      <c r="D83">
        <v>690</v>
      </c>
    </row>
    <row r="84" spans="1:4" x14ac:dyDescent="0.3">
      <c r="A84" t="s">
        <v>10</v>
      </c>
      <c r="B84" t="s">
        <v>41</v>
      </c>
      <c r="C84" t="s">
        <v>9</v>
      </c>
      <c r="D84">
        <v>5000</v>
      </c>
    </row>
    <row r="85" spans="1:4" x14ac:dyDescent="0.3">
      <c r="A85" t="s">
        <v>12</v>
      </c>
      <c r="B85" t="s">
        <v>39</v>
      </c>
      <c r="C85" t="s">
        <v>6</v>
      </c>
      <c r="D85">
        <v>2600</v>
      </c>
    </row>
    <row r="86" spans="1:4" x14ac:dyDescent="0.3">
      <c r="A86" t="s">
        <v>13</v>
      </c>
      <c r="B86" t="s">
        <v>40</v>
      </c>
      <c r="C86" t="s">
        <v>9</v>
      </c>
      <c r="D86">
        <v>580</v>
      </c>
    </row>
    <row r="87" spans="1:4" x14ac:dyDescent="0.3">
      <c r="A87" t="s">
        <v>14</v>
      </c>
      <c r="B87" t="s">
        <v>41</v>
      </c>
      <c r="C87" t="s">
        <v>6</v>
      </c>
      <c r="D87">
        <v>4700</v>
      </c>
    </row>
    <row r="88" spans="1:4" x14ac:dyDescent="0.3">
      <c r="A88" t="s">
        <v>15</v>
      </c>
      <c r="B88" t="s">
        <v>39</v>
      </c>
      <c r="C88" t="s">
        <v>9</v>
      </c>
      <c r="D88">
        <v>2100</v>
      </c>
    </row>
    <row r="89" spans="1:4" x14ac:dyDescent="0.3">
      <c r="A89" t="s">
        <v>16</v>
      </c>
      <c r="B89" t="s">
        <v>40</v>
      </c>
      <c r="C89" t="s">
        <v>6</v>
      </c>
      <c r="D89">
        <v>740</v>
      </c>
    </row>
    <row r="90" spans="1:4" x14ac:dyDescent="0.3">
      <c r="A90" t="s">
        <v>17</v>
      </c>
      <c r="B90" t="s">
        <v>41</v>
      </c>
      <c r="C90" t="s">
        <v>9</v>
      </c>
      <c r="D90">
        <v>6400</v>
      </c>
    </row>
    <row r="91" spans="1:4" x14ac:dyDescent="0.3">
      <c r="A91" t="s">
        <v>18</v>
      </c>
      <c r="B91" t="s">
        <v>39</v>
      </c>
      <c r="C91" t="s">
        <v>6</v>
      </c>
      <c r="D91">
        <v>3200</v>
      </c>
    </row>
    <row r="92" spans="1:4" x14ac:dyDescent="0.3">
      <c r="A92" t="s">
        <v>19</v>
      </c>
      <c r="B92" t="s">
        <v>40</v>
      </c>
      <c r="C92" t="s">
        <v>9</v>
      </c>
      <c r="D92">
        <v>660</v>
      </c>
    </row>
    <row r="93" spans="1:4" x14ac:dyDescent="0.3">
      <c r="A93" t="s">
        <v>20</v>
      </c>
      <c r="B93" t="s">
        <v>41</v>
      </c>
      <c r="C93" t="s">
        <v>6</v>
      </c>
      <c r="D93">
        <v>5100</v>
      </c>
    </row>
    <row r="94" spans="1:4" x14ac:dyDescent="0.3">
      <c r="A94" t="s">
        <v>21</v>
      </c>
      <c r="B94" t="s">
        <v>39</v>
      </c>
      <c r="C94" t="s">
        <v>9</v>
      </c>
      <c r="D94">
        <v>2300</v>
      </c>
    </row>
    <row r="95" spans="1:4" x14ac:dyDescent="0.3">
      <c r="A95" t="s">
        <v>22</v>
      </c>
      <c r="B95" t="s">
        <v>40</v>
      </c>
      <c r="C95" t="s">
        <v>6</v>
      </c>
      <c r="D95">
        <v>920</v>
      </c>
    </row>
    <row r="96" spans="1:4" x14ac:dyDescent="0.3">
      <c r="A96" t="s">
        <v>23</v>
      </c>
      <c r="B96" t="s">
        <v>41</v>
      </c>
      <c r="C96" t="s">
        <v>9</v>
      </c>
      <c r="D96">
        <v>5700</v>
      </c>
    </row>
    <row r="97" spans="1:4" x14ac:dyDescent="0.3">
      <c r="A97" t="s">
        <v>24</v>
      </c>
      <c r="B97" t="s">
        <v>39</v>
      </c>
      <c r="C97" t="s">
        <v>6</v>
      </c>
      <c r="D97">
        <v>2450</v>
      </c>
    </row>
    <row r="98" spans="1:4" x14ac:dyDescent="0.3">
      <c r="A98" t="s">
        <v>25</v>
      </c>
      <c r="B98" t="s">
        <v>40</v>
      </c>
      <c r="C98" t="s">
        <v>9</v>
      </c>
      <c r="D98">
        <v>490</v>
      </c>
    </row>
    <row r="99" spans="1:4" x14ac:dyDescent="0.3">
      <c r="A99" t="s">
        <v>26</v>
      </c>
      <c r="B99" t="s">
        <v>41</v>
      </c>
      <c r="C99" t="s">
        <v>6</v>
      </c>
      <c r="D99">
        <v>4950</v>
      </c>
    </row>
    <row r="100" spans="1:4" x14ac:dyDescent="0.3">
      <c r="A100" t="s">
        <v>27</v>
      </c>
      <c r="B100" t="s">
        <v>39</v>
      </c>
      <c r="C100" t="s">
        <v>9</v>
      </c>
      <c r="D100">
        <v>3000</v>
      </c>
    </row>
    <row r="101" spans="1:4" x14ac:dyDescent="0.3">
      <c r="A101" t="s">
        <v>28</v>
      </c>
      <c r="B101" t="s">
        <v>40</v>
      </c>
      <c r="C101" t="s">
        <v>6</v>
      </c>
      <c r="D101">
        <v>850</v>
      </c>
    </row>
    <row r="102" spans="1:4" x14ac:dyDescent="0.3">
      <c r="A102" t="s">
        <v>44</v>
      </c>
      <c r="D102">
        <f>SUBTOTAL(109,Data[Amount])</f>
        <v>276880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6BD8D-6B97-4899-9661-D6E2975DF9A4}">
  <dimension ref="A1:D101"/>
  <sheetViews>
    <sheetView tabSelected="1" workbookViewId="0">
      <selection activeCell="C3" sqref="C3"/>
    </sheetView>
  </sheetViews>
  <sheetFormatPr defaultRowHeight="14.4" x14ac:dyDescent="0.3"/>
  <sheetData>
    <row r="1" spans="1:4" x14ac:dyDescent="0.3">
      <c r="A1" t="s">
        <v>0</v>
      </c>
      <c r="B1" t="s">
        <v>1</v>
      </c>
      <c r="C1" t="s">
        <v>2</v>
      </c>
      <c r="D1" t="s">
        <v>3</v>
      </c>
    </row>
    <row r="2" spans="1:4" x14ac:dyDescent="0.3">
      <c r="A2" t="s">
        <v>4</v>
      </c>
      <c r="B2" t="s">
        <v>5</v>
      </c>
      <c r="C2" t="s">
        <v>6</v>
      </c>
      <c r="D2">
        <v>1850</v>
      </c>
    </row>
    <row r="3" spans="1:4" x14ac:dyDescent="0.3">
      <c r="A3" t="s">
        <v>7</v>
      </c>
      <c r="B3" t="s">
        <v>8</v>
      </c>
      <c r="C3" t="s">
        <v>9</v>
      </c>
      <c r="D3">
        <v>420</v>
      </c>
    </row>
    <row r="4" spans="1:4" x14ac:dyDescent="0.3">
      <c r="A4" t="s">
        <v>10</v>
      </c>
      <c r="B4" t="s">
        <v>11</v>
      </c>
      <c r="C4" t="s">
        <v>6</v>
      </c>
      <c r="D4">
        <v>5200</v>
      </c>
    </row>
    <row r="5" spans="1:4" x14ac:dyDescent="0.3">
      <c r="A5" t="s">
        <v>12</v>
      </c>
      <c r="B5" t="s">
        <v>5</v>
      </c>
      <c r="C5" t="s">
        <v>9</v>
      </c>
      <c r="D5">
        <v>2400</v>
      </c>
    </row>
    <row r="6" spans="1:4" x14ac:dyDescent="0.3">
      <c r="A6" t="s">
        <v>13</v>
      </c>
      <c r="B6" t="s">
        <v>8</v>
      </c>
      <c r="C6" t="s">
        <v>6</v>
      </c>
      <c r="D6">
        <v>650</v>
      </c>
    </row>
    <row r="7" spans="1:4" x14ac:dyDescent="0.3">
      <c r="A7" t="s">
        <v>14</v>
      </c>
      <c r="B7" t="s">
        <v>11</v>
      </c>
      <c r="C7" t="s">
        <v>9</v>
      </c>
      <c r="D7">
        <v>4300</v>
      </c>
    </row>
    <row r="8" spans="1:4" x14ac:dyDescent="0.3">
      <c r="A8" t="s">
        <v>15</v>
      </c>
      <c r="B8" t="s">
        <v>5</v>
      </c>
      <c r="C8" t="s">
        <v>6</v>
      </c>
      <c r="D8">
        <v>3100</v>
      </c>
    </row>
    <row r="9" spans="1:4" x14ac:dyDescent="0.3">
      <c r="A9" t="s">
        <v>16</v>
      </c>
      <c r="B9" t="s">
        <v>8</v>
      </c>
      <c r="C9" t="s">
        <v>9</v>
      </c>
      <c r="D9">
        <v>550</v>
      </c>
    </row>
    <row r="10" spans="1:4" x14ac:dyDescent="0.3">
      <c r="A10" t="s">
        <v>17</v>
      </c>
      <c r="B10" t="s">
        <v>11</v>
      </c>
      <c r="C10" t="s">
        <v>6</v>
      </c>
      <c r="D10">
        <v>6100</v>
      </c>
    </row>
    <row r="11" spans="1:4" x14ac:dyDescent="0.3">
      <c r="A11" t="s">
        <v>18</v>
      </c>
      <c r="B11" t="s">
        <v>5</v>
      </c>
      <c r="C11" t="s">
        <v>6</v>
      </c>
      <c r="D11">
        <v>2750</v>
      </c>
    </row>
    <row r="12" spans="1:4" x14ac:dyDescent="0.3">
      <c r="A12" t="s">
        <v>19</v>
      </c>
      <c r="B12" t="s">
        <v>8</v>
      </c>
      <c r="C12" t="s">
        <v>9</v>
      </c>
      <c r="D12">
        <v>720</v>
      </c>
    </row>
    <row r="13" spans="1:4" x14ac:dyDescent="0.3">
      <c r="A13" t="s">
        <v>20</v>
      </c>
      <c r="B13" t="s">
        <v>11</v>
      </c>
      <c r="C13" t="s">
        <v>6</v>
      </c>
      <c r="D13">
        <v>4800</v>
      </c>
    </row>
    <row r="14" spans="1:4" x14ac:dyDescent="0.3">
      <c r="A14" t="s">
        <v>21</v>
      </c>
      <c r="B14" t="s">
        <v>5</v>
      </c>
      <c r="C14" t="s">
        <v>9</v>
      </c>
      <c r="D14">
        <v>1950</v>
      </c>
    </row>
    <row r="15" spans="1:4" x14ac:dyDescent="0.3">
      <c r="A15" t="s">
        <v>22</v>
      </c>
      <c r="B15" t="s">
        <v>8</v>
      </c>
      <c r="C15" t="s">
        <v>6</v>
      </c>
      <c r="D15">
        <v>890</v>
      </c>
    </row>
    <row r="16" spans="1:4" x14ac:dyDescent="0.3">
      <c r="A16" t="s">
        <v>23</v>
      </c>
      <c r="B16" t="s">
        <v>11</v>
      </c>
      <c r="C16" t="s">
        <v>9</v>
      </c>
      <c r="D16">
        <v>5300</v>
      </c>
    </row>
    <row r="17" spans="1:4" x14ac:dyDescent="0.3">
      <c r="A17" t="s">
        <v>24</v>
      </c>
      <c r="B17" t="s">
        <v>5</v>
      </c>
      <c r="C17" t="s">
        <v>6</v>
      </c>
      <c r="D17">
        <v>2200</v>
      </c>
    </row>
    <row r="18" spans="1:4" x14ac:dyDescent="0.3">
      <c r="A18" t="s">
        <v>25</v>
      </c>
      <c r="B18" t="s">
        <v>8</v>
      </c>
      <c r="C18" t="s">
        <v>9</v>
      </c>
      <c r="D18">
        <v>610</v>
      </c>
    </row>
    <row r="19" spans="1:4" x14ac:dyDescent="0.3">
      <c r="A19" t="s">
        <v>26</v>
      </c>
      <c r="B19" t="s">
        <v>11</v>
      </c>
      <c r="C19" t="s">
        <v>6</v>
      </c>
      <c r="D19">
        <v>4500</v>
      </c>
    </row>
    <row r="20" spans="1:4" x14ac:dyDescent="0.3">
      <c r="A20" t="s">
        <v>27</v>
      </c>
      <c r="B20" t="s">
        <v>5</v>
      </c>
      <c r="C20" t="s">
        <v>9</v>
      </c>
      <c r="D20">
        <v>2800</v>
      </c>
    </row>
    <row r="21" spans="1:4" x14ac:dyDescent="0.3">
      <c r="A21" t="s">
        <v>28</v>
      </c>
      <c r="B21" t="s">
        <v>8</v>
      </c>
      <c r="C21" t="s">
        <v>6</v>
      </c>
      <c r="D21">
        <v>770</v>
      </c>
    </row>
    <row r="22" spans="1:4" x14ac:dyDescent="0.3">
      <c r="A22" t="s">
        <v>29</v>
      </c>
      <c r="B22" t="s">
        <v>11</v>
      </c>
      <c r="C22" t="s">
        <v>9</v>
      </c>
      <c r="D22">
        <v>5900</v>
      </c>
    </row>
    <row r="23" spans="1:4" x14ac:dyDescent="0.3">
      <c r="A23" t="s">
        <v>30</v>
      </c>
      <c r="B23" t="s">
        <v>5</v>
      </c>
      <c r="C23" t="s">
        <v>6</v>
      </c>
      <c r="D23">
        <v>3300</v>
      </c>
    </row>
    <row r="24" spans="1:4" x14ac:dyDescent="0.3">
      <c r="A24" t="s">
        <v>31</v>
      </c>
      <c r="B24" t="s">
        <v>8</v>
      </c>
      <c r="C24" t="s">
        <v>9</v>
      </c>
      <c r="D24">
        <v>460</v>
      </c>
    </row>
    <row r="25" spans="1:4" x14ac:dyDescent="0.3">
      <c r="A25" t="s">
        <v>32</v>
      </c>
      <c r="B25" t="s">
        <v>11</v>
      </c>
      <c r="C25" t="s">
        <v>6</v>
      </c>
      <c r="D25">
        <v>6200</v>
      </c>
    </row>
    <row r="26" spans="1:4" x14ac:dyDescent="0.3">
      <c r="A26" t="s">
        <v>33</v>
      </c>
      <c r="B26" t="s">
        <v>5</v>
      </c>
      <c r="C26" t="s">
        <v>9</v>
      </c>
      <c r="D26">
        <v>2500</v>
      </c>
    </row>
    <row r="27" spans="1:4" x14ac:dyDescent="0.3">
      <c r="A27" t="s">
        <v>34</v>
      </c>
      <c r="B27" t="s">
        <v>8</v>
      </c>
      <c r="C27" t="s">
        <v>6</v>
      </c>
      <c r="D27">
        <v>810</v>
      </c>
    </row>
    <row r="28" spans="1:4" x14ac:dyDescent="0.3">
      <c r="A28" t="s">
        <v>35</v>
      </c>
      <c r="B28" t="s">
        <v>11</v>
      </c>
      <c r="C28" t="s">
        <v>9</v>
      </c>
      <c r="D28">
        <v>4100</v>
      </c>
    </row>
    <row r="29" spans="1:4" x14ac:dyDescent="0.3">
      <c r="A29" t="s">
        <v>36</v>
      </c>
      <c r="B29" t="s">
        <v>5</v>
      </c>
      <c r="C29" t="s">
        <v>6</v>
      </c>
      <c r="D29">
        <v>2950</v>
      </c>
    </row>
    <row r="30" spans="1:4" x14ac:dyDescent="0.3">
      <c r="A30" t="s">
        <v>37</v>
      </c>
      <c r="B30" t="s">
        <v>8</v>
      </c>
      <c r="C30" t="s">
        <v>9</v>
      </c>
      <c r="D30">
        <v>530</v>
      </c>
    </row>
    <row r="31" spans="1:4" x14ac:dyDescent="0.3">
      <c r="A31" t="s">
        <v>38</v>
      </c>
      <c r="B31" t="s">
        <v>11</v>
      </c>
      <c r="C31" t="s">
        <v>6</v>
      </c>
      <c r="D31">
        <v>5600</v>
      </c>
    </row>
    <row r="32" spans="1:4" x14ac:dyDescent="0.3">
      <c r="A32" t="s">
        <v>4</v>
      </c>
      <c r="B32" t="s">
        <v>5</v>
      </c>
      <c r="C32" t="s">
        <v>9</v>
      </c>
      <c r="D32">
        <v>1800</v>
      </c>
    </row>
    <row r="33" spans="1:4" x14ac:dyDescent="0.3">
      <c r="A33" t="s">
        <v>7</v>
      </c>
      <c r="B33" t="s">
        <v>8</v>
      </c>
      <c r="C33" t="s">
        <v>6</v>
      </c>
      <c r="D33">
        <v>690</v>
      </c>
    </row>
    <row r="34" spans="1:4" x14ac:dyDescent="0.3">
      <c r="A34" t="s">
        <v>10</v>
      </c>
      <c r="B34" t="s">
        <v>11</v>
      </c>
      <c r="C34" t="s">
        <v>9</v>
      </c>
      <c r="D34">
        <v>5000</v>
      </c>
    </row>
    <row r="35" spans="1:4" x14ac:dyDescent="0.3">
      <c r="A35" t="s">
        <v>12</v>
      </c>
      <c r="B35" t="s">
        <v>5</v>
      </c>
      <c r="C35" t="s">
        <v>6</v>
      </c>
      <c r="D35">
        <v>2600</v>
      </c>
    </row>
    <row r="36" spans="1:4" x14ac:dyDescent="0.3">
      <c r="A36" t="s">
        <v>13</v>
      </c>
      <c r="B36" t="s">
        <v>8</v>
      </c>
      <c r="C36" t="s">
        <v>9</v>
      </c>
      <c r="D36">
        <v>580</v>
      </c>
    </row>
    <row r="37" spans="1:4" x14ac:dyDescent="0.3">
      <c r="A37" t="s">
        <v>14</v>
      </c>
      <c r="B37" t="s">
        <v>11</v>
      </c>
      <c r="C37" t="s">
        <v>6</v>
      </c>
      <c r="D37">
        <v>4700</v>
      </c>
    </row>
    <row r="38" spans="1:4" x14ac:dyDescent="0.3">
      <c r="A38" t="s">
        <v>15</v>
      </c>
      <c r="B38" t="s">
        <v>5</v>
      </c>
      <c r="C38" t="s">
        <v>9</v>
      </c>
      <c r="D38">
        <v>2100</v>
      </c>
    </row>
    <row r="39" spans="1:4" x14ac:dyDescent="0.3">
      <c r="A39" t="s">
        <v>16</v>
      </c>
      <c r="B39" t="s">
        <v>8</v>
      </c>
      <c r="C39" t="s">
        <v>6</v>
      </c>
      <c r="D39">
        <v>740</v>
      </c>
    </row>
    <row r="40" spans="1:4" x14ac:dyDescent="0.3">
      <c r="A40" t="s">
        <v>17</v>
      </c>
      <c r="B40" t="s">
        <v>11</v>
      </c>
      <c r="C40" t="s">
        <v>9</v>
      </c>
      <c r="D40">
        <v>6400</v>
      </c>
    </row>
    <row r="41" spans="1:4" x14ac:dyDescent="0.3">
      <c r="A41" t="s">
        <v>18</v>
      </c>
      <c r="B41" t="s">
        <v>5</v>
      </c>
      <c r="C41" t="s">
        <v>6</v>
      </c>
      <c r="D41">
        <v>3200</v>
      </c>
    </row>
    <row r="42" spans="1:4" x14ac:dyDescent="0.3">
      <c r="A42" t="s">
        <v>19</v>
      </c>
      <c r="B42" t="s">
        <v>8</v>
      </c>
      <c r="C42" t="s">
        <v>9</v>
      </c>
      <c r="D42">
        <v>660</v>
      </c>
    </row>
    <row r="43" spans="1:4" x14ac:dyDescent="0.3">
      <c r="A43" t="s">
        <v>20</v>
      </c>
      <c r="B43" t="s">
        <v>11</v>
      </c>
      <c r="C43" t="s">
        <v>6</v>
      </c>
      <c r="D43">
        <v>5100</v>
      </c>
    </row>
    <row r="44" spans="1:4" x14ac:dyDescent="0.3">
      <c r="A44" t="s">
        <v>21</v>
      </c>
      <c r="B44" t="s">
        <v>5</v>
      </c>
      <c r="C44" t="s">
        <v>9</v>
      </c>
      <c r="D44">
        <v>2300</v>
      </c>
    </row>
    <row r="45" spans="1:4" x14ac:dyDescent="0.3">
      <c r="A45" t="s">
        <v>22</v>
      </c>
      <c r="B45" t="s">
        <v>8</v>
      </c>
      <c r="C45" t="s">
        <v>6</v>
      </c>
      <c r="D45">
        <v>920</v>
      </c>
    </row>
    <row r="46" spans="1:4" x14ac:dyDescent="0.3">
      <c r="A46" t="s">
        <v>23</v>
      </c>
      <c r="B46" t="s">
        <v>11</v>
      </c>
      <c r="C46" t="s">
        <v>9</v>
      </c>
      <c r="D46">
        <v>5700</v>
      </c>
    </row>
    <row r="47" spans="1:4" x14ac:dyDescent="0.3">
      <c r="A47" t="s">
        <v>24</v>
      </c>
      <c r="B47" t="s">
        <v>5</v>
      </c>
      <c r="C47" t="s">
        <v>6</v>
      </c>
      <c r="D47">
        <v>2450</v>
      </c>
    </row>
    <row r="48" spans="1:4" x14ac:dyDescent="0.3">
      <c r="A48" t="s">
        <v>25</v>
      </c>
      <c r="B48" t="s">
        <v>8</v>
      </c>
      <c r="C48" t="s">
        <v>9</v>
      </c>
      <c r="D48">
        <v>490</v>
      </c>
    </row>
    <row r="49" spans="1:4" x14ac:dyDescent="0.3">
      <c r="A49" t="s">
        <v>26</v>
      </c>
      <c r="B49" t="s">
        <v>11</v>
      </c>
      <c r="C49" t="s">
        <v>6</v>
      </c>
      <c r="D49">
        <v>4950</v>
      </c>
    </row>
    <row r="50" spans="1:4" x14ac:dyDescent="0.3">
      <c r="A50" t="s">
        <v>27</v>
      </c>
      <c r="B50" t="s">
        <v>5</v>
      </c>
      <c r="C50" t="s">
        <v>9</v>
      </c>
      <c r="D50">
        <v>3000</v>
      </c>
    </row>
    <row r="51" spans="1:4" x14ac:dyDescent="0.3">
      <c r="A51" t="s">
        <v>28</v>
      </c>
      <c r="B51" t="s">
        <v>8</v>
      </c>
      <c r="C51" t="s">
        <v>6</v>
      </c>
      <c r="D51">
        <v>850</v>
      </c>
    </row>
    <row r="52" spans="1:4" x14ac:dyDescent="0.3">
      <c r="A52" t="s">
        <v>4</v>
      </c>
      <c r="B52" t="s">
        <v>39</v>
      </c>
      <c r="C52" t="s">
        <v>6</v>
      </c>
      <c r="D52">
        <v>1850</v>
      </c>
    </row>
    <row r="53" spans="1:4" x14ac:dyDescent="0.3">
      <c r="A53" t="s">
        <v>7</v>
      </c>
      <c r="B53" t="s">
        <v>40</v>
      </c>
      <c r="C53" t="s">
        <v>9</v>
      </c>
      <c r="D53">
        <v>420</v>
      </c>
    </row>
    <row r="54" spans="1:4" x14ac:dyDescent="0.3">
      <c r="A54" t="s">
        <v>10</v>
      </c>
      <c r="B54" t="s">
        <v>41</v>
      </c>
      <c r="C54" t="s">
        <v>6</v>
      </c>
      <c r="D54">
        <v>5200</v>
      </c>
    </row>
    <row r="55" spans="1:4" x14ac:dyDescent="0.3">
      <c r="A55" t="s">
        <v>12</v>
      </c>
      <c r="B55" t="s">
        <v>39</v>
      </c>
      <c r="C55" t="s">
        <v>9</v>
      </c>
      <c r="D55">
        <v>2400</v>
      </c>
    </row>
    <row r="56" spans="1:4" x14ac:dyDescent="0.3">
      <c r="A56" t="s">
        <v>13</v>
      </c>
      <c r="B56" t="s">
        <v>40</v>
      </c>
      <c r="C56" t="s">
        <v>6</v>
      </c>
      <c r="D56">
        <v>650</v>
      </c>
    </row>
    <row r="57" spans="1:4" x14ac:dyDescent="0.3">
      <c r="A57" t="s">
        <v>14</v>
      </c>
      <c r="B57" t="s">
        <v>41</v>
      </c>
      <c r="C57" t="s">
        <v>9</v>
      </c>
      <c r="D57">
        <v>4300</v>
      </c>
    </row>
    <row r="58" spans="1:4" x14ac:dyDescent="0.3">
      <c r="A58" t="s">
        <v>15</v>
      </c>
      <c r="B58" t="s">
        <v>39</v>
      </c>
      <c r="C58" t="s">
        <v>6</v>
      </c>
      <c r="D58">
        <v>3100</v>
      </c>
    </row>
    <row r="59" spans="1:4" x14ac:dyDescent="0.3">
      <c r="A59" t="s">
        <v>16</v>
      </c>
      <c r="B59" t="s">
        <v>40</v>
      </c>
      <c r="C59" t="s">
        <v>9</v>
      </c>
      <c r="D59">
        <v>550</v>
      </c>
    </row>
    <row r="60" spans="1:4" x14ac:dyDescent="0.3">
      <c r="A60" t="s">
        <v>17</v>
      </c>
      <c r="B60" t="s">
        <v>41</v>
      </c>
      <c r="C60" t="s">
        <v>6</v>
      </c>
      <c r="D60">
        <v>6100</v>
      </c>
    </row>
    <row r="61" spans="1:4" x14ac:dyDescent="0.3">
      <c r="A61" t="s">
        <v>18</v>
      </c>
      <c r="B61" t="s">
        <v>39</v>
      </c>
      <c r="C61" t="s">
        <v>6</v>
      </c>
      <c r="D61">
        <v>2750</v>
      </c>
    </row>
    <row r="62" spans="1:4" x14ac:dyDescent="0.3">
      <c r="A62" t="s">
        <v>19</v>
      </c>
      <c r="B62" t="s">
        <v>40</v>
      </c>
      <c r="C62" t="s">
        <v>9</v>
      </c>
      <c r="D62">
        <v>720</v>
      </c>
    </row>
    <row r="63" spans="1:4" x14ac:dyDescent="0.3">
      <c r="A63" t="s">
        <v>20</v>
      </c>
      <c r="B63" t="s">
        <v>41</v>
      </c>
      <c r="C63" t="s">
        <v>6</v>
      </c>
      <c r="D63">
        <v>4800</v>
      </c>
    </row>
    <row r="64" spans="1:4" x14ac:dyDescent="0.3">
      <c r="A64" t="s">
        <v>21</v>
      </c>
      <c r="B64" t="s">
        <v>39</v>
      </c>
      <c r="C64" t="s">
        <v>9</v>
      </c>
      <c r="D64">
        <v>1950</v>
      </c>
    </row>
    <row r="65" spans="1:4" x14ac:dyDescent="0.3">
      <c r="A65" t="s">
        <v>22</v>
      </c>
      <c r="B65" t="s">
        <v>40</v>
      </c>
      <c r="C65" t="s">
        <v>6</v>
      </c>
      <c r="D65">
        <v>890</v>
      </c>
    </row>
    <row r="66" spans="1:4" x14ac:dyDescent="0.3">
      <c r="A66" t="s">
        <v>23</v>
      </c>
      <c r="B66" t="s">
        <v>41</v>
      </c>
      <c r="C66" t="s">
        <v>9</v>
      </c>
      <c r="D66">
        <v>5300</v>
      </c>
    </row>
    <row r="67" spans="1:4" x14ac:dyDescent="0.3">
      <c r="A67" t="s">
        <v>24</v>
      </c>
      <c r="B67" t="s">
        <v>39</v>
      </c>
      <c r="C67" t="s">
        <v>6</v>
      </c>
      <c r="D67">
        <v>2200</v>
      </c>
    </row>
    <row r="68" spans="1:4" x14ac:dyDescent="0.3">
      <c r="A68" t="s">
        <v>25</v>
      </c>
      <c r="B68" t="s">
        <v>40</v>
      </c>
      <c r="C68" t="s">
        <v>9</v>
      </c>
      <c r="D68">
        <v>610</v>
      </c>
    </row>
    <row r="69" spans="1:4" x14ac:dyDescent="0.3">
      <c r="A69" t="s">
        <v>26</v>
      </c>
      <c r="B69" t="s">
        <v>41</v>
      </c>
      <c r="C69" t="s">
        <v>6</v>
      </c>
      <c r="D69">
        <v>4500</v>
      </c>
    </row>
    <row r="70" spans="1:4" x14ac:dyDescent="0.3">
      <c r="A70" t="s">
        <v>27</v>
      </c>
      <c r="B70" t="s">
        <v>39</v>
      </c>
      <c r="C70" t="s">
        <v>9</v>
      </c>
      <c r="D70">
        <v>2800</v>
      </c>
    </row>
    <row r="71" spans="1:4" x14ac:dyDescent="0.3">
      <c r="A71" t="s">
        <v>28</v>
      </c>
      <c r="B71" t="s">
        <v>40</v>
      </c>
      <c r="C71" t="s">
        <v>6</v>
      </c>
      <c r="D71">
        <v>770</v>
      </c>
    </row>
    <row r="72" spans="1:4" x14ac:dyDescent="0.3">
      <c r="A72" t="s">
        <v>29</v>
      </c>
      <c r="B72" t="s">
        <v>41</v>
      </c>
      <c r="C72" t="s">
        <v>9</v>
      </c>
      <c r="D72">
        <v>5900</v>
      </c>
    </row>
    <row r="73" spans="1:4" x14ac:dyDescent="0.3">
      <c r="A73" t="s">
        <v>30</v>
      </c>
      <c r="B73" t="s">
        <v>39</v>
      </c>
      <c r="C73" t="s">
        <v>6</v>
      </c>
      <c r="D73">
        <v>3300</v>
      </c>
    </row>
    <row r="74" spans="1:4" x14ac:dyDescent="0.3">
      <c r="A74" t="s">
        <v>31</v>
      </c>
      <c r="B74" t="s">
        <v>40</v>
      </c>
      <c r="C74" t="s">
        <v>9</v>
      </c>
      <c r="D74">
        <v>460</v>
      </c>
    </row>
    <row r="75" spans="1:4" x14ac:dyDescent="0.3">
      <c r="A75" t="s">
        <v>32</v>
      </c>
      <c r="B75" t="s">
        <v>41</v>
      </c>
      <c r="C75" t="s">
        <v>6</v>
      </c>
      <c r="D75">
        <v>6200</v>
      </c>
    </row>
    <row r="76" spans="1:4" x14ac:dyDescent="0.3">
      <c r="A76" t="s">
        <v>33</v>
      </c>
      <c r="B76" t="s">
        <v>39</v>
      </c>
      <c r="C76" t="s">
        <v>9</v>
      </c>
      <c r="D76">
        <v>2500</v>
      </c>
    </row>
    <row r="77" spans="1:4" x14ac:dyDescent="0.3">
      <c r="A77" t="s">
        <v>34</v>
      </c>
      <c r="B77" t="s">
        <v>40</v>
      </c>
      <c r="C77" t="s">
        <v>6</v>
      </c>
      <c r="D77">
        <v>810</v>
      </c>
    </row>
    <row r="78" spans="1:4" x14ac:dyDescent="0.3">
      <c r="A78" t="s">
        <v>35</v>
      </c>
      <c r="B78" t="s">
        <v>41</v>
      </c>
      <c r="C78" t="s">
        <v>9</v>
      </c>
      <c r="D78">
        <v>4100</v>
      </c>
    </row>
    <row r="79" spans="1:4" x14ac:dyDescent="0.3">
      <c r="A79" t="s">
        <v>36</v>
      </c>
      <c r="B79" t="s">
        <v>39</v>
      </c>
      <c r="C79" t="s">
        <v>6</v>
      </c>
      <c r="D79">
        <v>2950</v>
      </c>
    </row>
    <row r="80" spans="1:4" x14ac:dyDescent="0.3">
      <c r="A80" t="s">
        <v>37</v>
      </c>
      <c r="B80" t="s">
        <v>40</v>
      </c>
      <c r="C80" t="s">
        <v>9</v>
      </c>
      <c r="D80">
        <v>530</v>
      </c>
    </row>
    <row r="81" spans="1:4" x14ac:dyDescent="0.3">
      <c r="A81" t="s">
        <v>38</v>
      </c>
      <c r="B81" t="s">
        <v>41</v>
      </c>
      <c r="C81" t="s">
        <v>6</v>
      </c>
      <c r="D81">
        <v>5600</v>
      </c>
    </row>
    <row r="82" spans="1:4" x14ac:dyDescent="0.3">
      <c r="A82" t="s">
        <v>4</v>
      </c>
      <c r="B82" t="s">
        <v>39</v>
      </c>
      <c r="C82" t="s">
        <v>9</v>
      </c>
      <c r="D82">
        <v>1800</v>
      </c>
    </row>
    <row r="83" spans="1:4" x14ac:dyDescent="0.3">
      <c r="A83" t="s">
        <v>7</v>
      </c>
      <c r="B83" t="s">
        <v>40</v>
      </c>
      <c r="C83" t="s">
        <v>6</v>
      </c>
      <c r="D83">
        <v>690</v>
      </c>
    </row>
    <row r="84" spans="1:4" x14ac:dyDescent="0.3">
      <c r="A84" t="s">
        <v>10</v>
      </c>
      <c r="B84" t="s">
        <v>41</v>
      </c>
      <c r="C84" t="s">
        <v>9</v>
      </c>
      <c r="D84">
        <v>5000</v>
      </c>
    </row>
    <row r="85" spans="1:4" x14ac:dyDescent="0.3">
      <c r="A85" t="s">
        <v>12</v>
      </c>
      <c r="B85" t="s">
        <v>39</v>
      </c>
      <c r="C85" t="s">
        <v>6</v>
      </c>
      <c r="D85">
        <v>2600</v>
      </c>
    </row>
    <row r="86" spans="1:4" x14ac:dyDescent="0.3">
      <c r="A86" t="s">
        <v>13</v>
      </c>
      <c r="B86" t="s">
        <v>40</v>
      </c>
      <c r="C86" t="s">
        <v>9</v>
      </c>
      <c r="D86">
        <v>580</v>
      </c>
    </row>
    <row r="87" spans="1:4" x14ac:dyDescent="0.3">
      <c r="A87" t="s">
        <v>14</v>
      </c>
      <c r="B87" t="s">
        <v>41</v>
      </c>
      <c r="C87" t="s">
        <v>6</v>
      </c>
      <c r="D87">
        <v>4700</v>
      </c>
    </row>
    <row r="88" spans="1:4" x14ac:dyDescent="0.3">
      <c r="A88" t="s">
        <v>15</v>
      </c>
      <c r="B88" t="s">
        <v>39</v>
      </c>
      <c r="C88" t="s">
        <v>9</v>
      </c>
      <c r="D88">
        <v>2100</v>
      </c>
    </row>
    <row r="89" spans="1:4" x14ac:dyDescent="0.3">
      <c r="A89" t="s">
        <v>16</v>
      </c>
      <c r="B89" t="s">
        <v>40</v>
      </c>
      <c r="C89" t="s">
        <v>6</v>
      </c>
      <c r="D89">
        <v>740</v>
      </c>
    </row>
    <row r="90" spans="1:4" x14ac:dyDescent="0.3">
      <c r="A90" t="s">
        <v>17</v>
      </c>
      <c r="B90" t="s">
        <v>41</v>
      </c>
      <c r="C90" t="s">
        <v>9</v>
      </c>
      <c r="D90">
        <v>6400</v>
      </c>
    </row>
    <row r="91" spans="1:4" x14ac:dyDescent="0.3">
      <c r="A91" t="s">
        <v>18</v>
      </c>
      <c r="B91" t="s">
        <v>39</v>
      </c>
      <c r="C91" t="s">
        <v>6</v>
      </c>
      <c r="D91">
        <v>3200</v>
      </c>
    </row>
    <row r="92" spans="1:4" x14ac:dyDescent="0.3">
      <c r="A92" t="s">
        <v>19</v>
      </c>
      <c r="B92" t="s">
        <v>40</v>
      </c>
      <c r="C92" t="s">
        <v>9</v>
      </c>
      <c r="D92">
        <v>660</v>
      </c>
    </row>
    <row r="93" spans="1:4" x14ac:dyDescent="0.3">
      <c r="A93" t="s">
        <v>20</v>
      </c>
      <c r="B93" t="s">
        <v>41</v>
      </c>
      <c r="C93" t="s">
        <v>6</v>
      </c>
      <c r="D93">
        <v>5100</v>
      </c>
    </row>
    <row r="94" spans="1:4" x14ac:dyDescent="0.3">
      <c r="A94" t="s">
        <v>21</v>
      </c>
      <c r="B94" t="s">
        <v>39</v>
      </c>
      <c r="C94" t="s">
        <v>9</v>
      </c>
      <c r="D94">
        <v>2300</v>
      </c>
    </row>
    <row r="95" spans="1:4" x14ac:dyDescent="0.3">
      <c r="A95" t="s">
        <v>22</v>
      </c>
      <c r="B95" t="s">
        <v>40</v>
      </c>
      <c r="C95" t="s">
        <v>6</v>
      </c>
      <c r="D95">
        <v>920</v>
      </c>
    </row>
    <row r="96" spans="1:4" x14ac:dyDescent="0.3">
      <c r="A96" t="s">
        <v>23</v>
      </c>
      <c r="B96" t="s">
        <v>41</v>
      </c>
      <c r="C96" t="s">
        <v>9</v>
      </c>
      <c r="D96">
        <v>5700</v>
      </c>
    </row>
    <row r="97" spans="1:4" x14ac:dyDescent="0.3">
      <c r="A97" t="s">
        <v>24</v>
      </c>
      <c r="B97" t="s">
        <v>39</v>
      </c>
      <c r="C97" t="s">
        <v>6</v>
      </c>
      <c r="D97">
        <v>2450</v>
      </c>
    </row>
    <row r="98" spans="1:4" x14ac:dyDescent="0.3">
      <c r="A98" t="s">
        <v>25</v>
      </c>
      <c r="B98" t="s">
        <v>40</v>
      </c>
      <c r="C98" t="s">
        <v>9</v>
      </c>
      <c r="D98">
        <v>490</v>
      </c>
    </row>
    <row r="99" spans="1:4" x14ac:dyDescent="0.3">
      <c r="A99" t="s">
        <v>26</v>
      </c>
      <c r="B99" t="s">
        <v>41</v>
      </c>
      <c r="C99" t="s">
        <v>6</v>
      </c>
      <c r="D99">
        <v>4950</v>
      </c>
    </row>
    <row r="100" spans="1:4" x14ac:dyDescent="0.3">
      <c r="A100" t="s">
        <v>27</v>
      </c>
      <c r="B100" t="s">
        <v>39</v>
      </c>
      <c r="C100" t="s">
        <v>9</v>
      </c>
      <c r="D100">
        <v>3000</v>
      </c>
    </row>
    <row r="101" spans="1:4" x14ac:dyDescent="0.3">
      <c r="A101" t="s">
        <v>28</v>
      </c>
      <c r="B101" t="s">
        <v>40</v>
      </c>
      <c r="C101" t="s">
        <v>6</v>
      </c>
      <c r="D101">
        <v>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Aashish Soni</dc:creator>
  <cp:lastModifiedBy>Aashish Soni</cp:lastModifiedBy>
  <dcterms:created xsi:type="dcterms:W3CDTF">2026-05-23T16:58:31Z</dcterms:created>
  <dcterms:modified xsi:type="dcterms:W3CDTF">2026-05-23T20:23:26Z</dcterms:modified>
</cp:coreProperties>
</file>