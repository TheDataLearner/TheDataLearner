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shish Soni\Downloads\"/>
    </mc:Choice>
  </mc:AlternateContent>
  <xr:revisionPtr revIDLastSave="0" documentId="13_ncr:1_{251F5B7F-C0E9-44F0-928E-4951E5ABD120}" xr6:coauthVersionLast="47" xr6:coauthVersionMax="47" xr10:uidLastSave="{00000000-0000-0000-0000-000000000000}"/>
  <bookViews>
    <workbookView xWindow="-108" yWindow="-108" windowWidth="23256" windowHeight="12456" xr2:uid="{44701A87-8A3C-4D7A-9694-32FF821EEFA3}"/>
  </bookViews>
  <sheets>
    <sheet name="Sheet2" sheetId="2" r:id="rId1"/>
    <sheet name="Sheet1" sheetId="1" r:id="rId2"/>
  </sheets>
  <definedNames>
    <definedName name="Vendorlist">vendor[Vendor Name]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D12" i="2"/>
  <c r="E12" i="2"/>
  <c r="E2" i="2"/>
  <c r="E3" i="2"/>
  <c r="E4" i="2"/>
  <c r="E5" i="2"/>
  <c r="E6" i="2"/>
  <c r="E7" i="2"/>
  <c r="E8" i="2"/>
  <c r="E9" i="2"/>
  <c r="E10" i="2"/>
  <c r="E11" i="2"/>
  <c r="D2" i="2"/>
  <c r="D3" i="2"/>
  <c r="D4" i="2"/>
  <c r="D5" i="2"/>
  <c r="D6" i="2"/>
  <c r="D7" i="2"/>
  <c r="D8" i="2"/>
  <c r="D9" i="2"/>
  <c r="D10" i="2"/>
  <c r="D11" i="2"/>
  <c r="C2" i="2"/>
  <c r="C3" i="2"/>
  <c r="C4" i="2"/>
  <c r="C5" i="2"/>
  <c r="C6" i="2"/>
  <c r="C7" i="2"/>
  <c r="C8" i="2"/>
  <c r="C9" i="2"/>
  <c r="C10" i="2"/>
  <c r="C11" i="2"/>
</calcChain>
</file>

<file path=xl/sharedStrings.xml><?xml version="1.0" encoding="utf-8"?>
<sst xmlns="http://schemas.openxmlformats.org/spreadsheetml/2006/main" count="89" uniqueCount="48">
  <si>
    <t>Vendor Name</t>
  </si>
  <si>
    <t>Service Type</t>
  </si>
  <si>
    <t>SLA (Days)</t>
  </si>
  <si>
    <t>Payment Terms</t>
  </si>
  <si>
    <t>AWS</t>
  </si>
  <si>
    <t>Cloud Hosting</t>
  </si>
  <si>
    <t>Net 30</t>
  </si>
  <si>
    <t>Microsoft</t>
  </si>
  <si>
    <t>Google Cloud</t>
  </si>
  <si>
    <t>Infosys</t>
  </si>
  <si>
    <t>IT Services</t>
  </si>
  <si>
    <t>Net 45</t>
  </si>
  <si>
    <t>TCS</t>
  </si>
  <si>
    <t>Wipro</t>
  </si>
  <si>
    <t>Deloitte</t>
  </si>
  <si>
    <t>Consulting</t>
  </si>
  <si>
    <t>Net 60</t>
  </si>
  <si>
    <t>PwC</t>
  </si>
  <si>
    <t>EY</t>
  </si>
  <si>
    <t>KPMG</t>
  </si>
  <si>
    <t>FedEx</t>
  </si>
  <si>
    <t>Logistics</t>
  </si>
  <si>
    <t>Net 15</t>
  </si>
  <si>
    <t>DHL</t>
  </si>
  <si>
    <t>Blue Dart</t>
  </si>
  <si>
    <t>Airtel</t>
  </si>
  <si>
    <t>Network Services</t>
  </si>
  <si>
    <t>Jio</t>
  </si>
  <si>
    <t>Vodafone</t>
  </si>
  <si>
    <t>IBM</t>
  </si>
  <si>
    <t>Infrastructure</t>
  </si>
  <si>
    <t>Oracle</t>
  </si>
  <si>
    <t>SAP</t>
  </si>
  <si>
    <t>Enterprise Software</t>
  </si>
  <si>
    <t>Zoho</t>
  </si>
  <si>
    <t>SaaS Applications</t>
  </si>
  <si>
    <t>Entry ID</t>
  </si>
  <si>
    <t>SE-001</t>
  </si>
  <si>
    <t>SE-002</t>
  </si>
  <si>
    <t>SE-003</t>
  </si>
  <si>
    <t>SE-004</t>
  </si>
  <si>
    <t>SE-005</t>
  </si>
  <si>
    <t>SE-006</t>
  </si>
  <si>
    <t>SE-007</t>
  </si>
  <si>
    <t>SE-008</t>
  </si>
  <si>
    <t>SE-009</t>
  </si>
  <si>
    <t>SE-010</t>
  </si>
  <si>
    <t>Se111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</si>
</sst>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3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C2759E-7CA9-42EB-BD4C-7658F1391065}" name="source" displayName="source" ref="A1:E12" totalsRowShown="0" headerRowDxfId="12" dataDxfId="11">
  <autoFilter ref="A1:E12" xr:uid="{F2C2759E-7CA9-42EB-BD4C-7658F1391065}"/>
  <tableColumns count="5">
    <tableColumn id="1" xr3:uid="{78420C20-12D5-4AA4-8298-4E957FDBE85C}" name="Entry ID" dataDxfId="10"/>
    <tableColumn id="2" xr3:uid="{7F8D56A9-8D66-4937-BD7A-A954075656AB}" name="Vendor Name" dataDxfId="9"/>
    <tableColumn id="3" xr3:uid="{7291EF44-C12E-4C11-961E-2F99350BCAAD}" name="Service Type" dataDxfId="8">
      <calculatedColumnFormula>_xlfn.XLOOKUP(source[[#This Row],[Vendor Name]],vendor[Vendor Name],vendor[Service Type],"")</calculatedColumnFormula>
    </tableColumn>
    <tableColumn id="4" xr3:uid="{60FF1567-01E9-4704-9FD5-52BF91E49C78}" name="SLA (Days)" dataDxfId="7">
      <calculatedColumnFormula>_xlfn.XLOOKUP(source[[#This Row],[Vendor Name]],vendor[Vendor Name],vendor[SLA (Days)],"")</calculatedColumnFormula>
    </tableColumn>
    <tableColumn id="5" xr3:uid="{B39957C8-D7E8-4924-BEF8-0F13065FAF60}" name="Payment Terms" dataDxfId="6">
      <calculatedColumnFormula>_xlfn.XLOOKUP(source[[#This Row],[Vendor Name]],vendor[Vendor Name],vendor[Payment Terms],"")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77741E-9F77-4DFB-8B24-94C8F4BDE7B7}" name="vendor" displayName="vendor" ref="A1:D21" totalsRowShown="0" headerRowDxfId="5" dataDxfId="4">
  <autoFilter ref="A1:D21" xr:uid="{2177741E-9F77-4DFB-8B24-94C8F4BDE7B7}"/>
  <tableColumns count="4">
    <tableColumn id="1" xr3:uid="{42C6B60B-D6D0-4030-A92F-649325B4A9A5}" name="Vendor Name" dataDxfId="3"/>
    <tableColumn id="2" xr3:uid="{5C89DE72-FC48-4841-878A-1CE81A72EA33}" name="Service Type" dataDxfId="2"/>
    <tableColumn id="3" xr3:uid="{04AB6117-C7C4-4057-98C9-0F95D5FB0824}" name="SLA (Days)" dataDxfId="1"/>
    <tableColumn id="4" xr3:uid="{19E073B4-A12C-4E29-AD63-6861778433A3}" name="Payment Term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9623-FFD2-46A8-B686-AA8CE78ACE1B}">
  <dimension ref="A1:E12"/>
  <sheetViews>
    <sheetView showGridLines="0" tabSelected="1" workbookViewId="0">
      <selection activeCell="B19" sqref="B19"/>
    </sheetView>
  </sheetViews>
  <sheetFormatPr defaultRowHeight="14.4" x14ac:dyDescent="0.3"/>
  <cols>
    <col min="1" max="1" width="9.21875" customWidth="1"/>
    <col min="2" max="2" width="14.109375" customWidth="1"/>
    <col min="3" max="3" width="13.33203125" customWidth="1"/>
    <col min="4" max="4" width="11.6640625" customWidth="1"/>
    <col min="5" max="5" width="15.6640625" customWidth="1"/>
  </cols>
  <sheetData>
    <row r="1" spans="1:5" x14ac:dyDescent="0.3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3" t="s">
        <v>37</v>
      </c>
      <c r="B2" s="3" t="s">
        <v>7</v>
      </c>
      <c r="C2" s="4" t="str">
        <f>_xlfn.XLOOKUP(source[[#This Row],[Vendor Name]],vendor[Vendor Name],vendor[Service Type],"")</f>
        <v>Cloud Hosting</v>
      </c>
      <c r="D2" s="4">
        <f>_xlfn.XLOOKUP(source[[#This Row],[Vendor Name]],vendor[Vendor Name],vendor[SLA (Days)],"")</f>
        <v>3</v>
      </c>
      <c r="E2" s="4" t="str">
        <f>_xlfn.XLOOKUP(source[[#This Row],[Vendor Name]],vendor[Vendor Name],vendor[Payment Terms],"")</f>
        <v>Net 30</v>
      </c>
    </row>
    <row r="3" spans="1:5" x14ac:dyDescent="0.3">
      <c r="A3" s="3" t="s">
        <v>38</v>
      </c>
      <c r="B3" s="3" t="s">
        <v>8</v>
      </c>
      <c r="C3" s="4" t="str">
        <f>_xlfn.XLOOKUP(source[[#This Row],[Vendor Name]],vendor[Vendor Name],vendor[Service Type],"")</f>
        <v>Cloud Hosting</v>
      </c>
      <c r="D3" s="4">
        <f>_xlfn.XLOOKUP(source[[#This Row],[Vendor Name]],vendor[Vendor Name],vendor[SLA (Days)],"")</f>
        <v>2</v>
      </c>
      <c r="E3" s="4" t="str">
        <f>_xlfn.XLOOKUP(source[[#This Row],[Vendor Name]],vendor[Vendor Name],vendor[Payment Terms],"")</f>
        <v>Net 30</v>
      </c>
    </row>
    <row r="4" spans="1:5" x14ac:dyDescent="0.3">
      <c r="A4" s="3" t="s">
        <v>39</v>
      </c>
      <c r="B4" s="3"/>
      <c r="C4" s="4" t="str">
        <f>_xlfn.XLOOKUP(source[[#This Row],[Vendor Name]],vendor[Vendor Name],vendor[Service Type],"")</f>
        <v/>
      </c>
      <c r="D4" s="4" t="str">
        <f>_xlfn.XLOOKUP(source[[#This Row],[Vendor Name]],vendor[Vendor Name],vendor[SLA (Days)],"")</f>
        <v/>
      </c>
      <c r="E4" s="4" t="str">
        <f>_xlfn.XLOOKUP(source[[#This Row],[Vendor Name]],vendor[Vendor Name],vendor[Payment Terms],"")</f>
        <v/>
      </c>
    </row>
    <row r="5" spans="1:5" x14ac:dyDescent="0.3">
      <c r="A5" s="3" t="s">
        <v>40</v>
      </c>
      <c r="B5" s="3" t="s">
        <v>8</v>
      </c>
      <c r="C5" s="4" t="str">
        <f>_xlfn.XLOOKUP(source[[#This Row],[Vendor Name]],vendor[Vendor Name],vendor[Service Type],"")</f>
        <v>Cloud Hosting</v>
      </c>
      <c r="D5" s="4">
        <f>_xlfn.XLOOKUP(source[[#This Row],[Vendor Name]],vendor[Vendor Name],vendor[SLA (Days)],"")</f>
        <v>2</v>
      </c>
      <c r="E5" s="4" t="str">
        <f>_xlfn.XLOOKUP(source[[#This Row],[Vendor Name]],vendor[Vendor Name],vendor[Payment Terms],"")</f>
        <v>Net 30</v>
      </c>
    </row>
    <row r="6" spans="1:5" x14ac:dyDescent="0.3">
      <c r="A6" s="3" t="s">
        <v>41</v>
      </c>
      <c r="B6" s="3" t="s">
        <v>13</v>
      </c>
      <c r="C6" s="4" t="str">
        <f>_xlfn.XLOOKUP(source[[#This Row],[Vendor Name]],vendor[Vendor Name],vendor[Service Type],"")</f>
        <v>IT Services</v>
      </c>
      <c r="D6" s="4">
        <f>_xlfn.XLOOKUP(source[[#This Row],[Vendor Name]],vendor[Vendor Name],vendor[SLA (Days)],"")</f>
        <v>5</v>
      </c>
      <c r="E6" s="4" t="str">
        <f>_xlfn.XLOOKUP(source[[#This Row],[Vendor Name]],vendor[Vendor Name],vendor[Payment Terms],"")</f>
        <v>Net 45</v>
      </c>
    </row>
    <row r="7" spans="1:5" x14ac:dyDescent="0.3">
      <c r="A7" s="3" t="s">
        <v>42</v>
      </c>
      <c r="B7" s="3"/>
      <c r="C7" s="4" t="str">
        <f>_xlfn.XLOOKUP(source[[#This Row],[Vendor Name]],vendor[Vendor Name],vendor[Service Type],"")</f>
        <v/>
      </c>
      <c r="D7" s="4" t="str">
        <f>_xlfn.XLOOKUP(source[[#This Row],[Vendor Name]],vendor[Vendor Name],vendor[SLA (Days)],"")</f>
        <v/>
      </c>
      <c r="E7" s="4" t="str">
        <f>_xlfn.XLOOKUP(source[[#This Row],[Vendor Name]],vendor[Vendor Name],vendor[Payment Terms],"")</f>
        <v/>
      </c>
    </row>
    <row r="8" spans="1:5" x14ac:dyDescent="0.3">
      <c r="A8" s="3" t="s">
        <v>43</v>
      </c>
      <c r="B8" s="3" t="s">
        <v>18</v>
      </c>
      <c r="C8" s="4" t="str">
        <f>_xlfn.XLOOKUP(source[[#This Row],[Vendor Name]],vendor[Vendor Name],vendor[Service Type],"")</f>
        <v>Consulting</v>
      </c>
      <c r="D8" s="4">
        <f>_xlfn.XLOOKUP(source[[#This Row],[Vendor Name]],vendor[Vendor Name],vendor[SLA (Days)],"")</f>
        <v>7</v>
      </c>
      <c r="E8" s="4" t="str">
        <f>_xlfn.XLOOKUP(source[[#This Row],[Vendor Name]],vendor[Vendor Name],vendor[Payment Terms],"")</f>
        <v>Net 60</v>
      </c>
    </row>
    <row r="9" spans="1:5" x14ac:dyDescent="0.3">
      <c r="A9" s="3" t="s">
        <v>44</v>
      </c>
      <c r="B9" s="3" t="s">
        <v>12</v>
      </c>
      <c r="C9" s="4" t="str">
        <f>_xlfn.XLOOKUP(source[[#This Row],[Vendor Name]],vendor[Vendor Name],vendor[Service Type],"")</f>
        <v>IT Services</v>
      </c>
      <c r="D9" s="4">
        <f>_xlfn.XLOOKUP(source[[#This Row],[Vendor Name]],vendor[Vendor Name],vendor[SLA (Days)],"")</f>
        <v>6</v>
      </c>
      <c r="E9" s="4" t="str">
        <f>_xlfn.XLOOKUP(source[[#This Row],[Vendor Name]],vendor[Vendor Name],vendor[Payment Terms],"")</f>
        <v>Net 45</v>
      </c>
    </row>
    <row r="10" spans="1:5" x14ac:dyDescent="0.3">
      <c r="A10" s="3" t="s">
        <v>45</v>
      </c>
      <c r="B10" s="3" t="s">
        <v>18</v>
      </c>
      <c r="C10" s="4" t="str">
        <f>_xlfn.XLOOKUP(source[[#This Row],[Vendor Name]],vendor[Vendor Name],vendor[Service Type],"")</f>
        <v>Consulting</v>
      </c>
      <c r="D10" s="4">
        <f>_xlfn.XLOOKUP(source[[#This Row],[Vendor Name]],vendor[Vendor Name],vendor[SLA (Days)],"")</f>
        <v>7</v>
      </c>
      <c r="E10" s="4" t="str">
        <f>_xlfn.XLOOKUP(source[[#This Row],[Vendor Name]],vendor[Vendor Name],vendor[Payment Terms],"")</f>
        <v>Net 60</v>
      </c>
    </row>
    <row r="11" spans="1:5" x14ac:dyDescent="0.3">
      <c r="A11" s="3" t="s">
        <v>46</v>
      </c>
      <c r="B11" s="3" t="s">
        <v>13</v>
      </c>
      <c r="C11" s="4" t="str">
        <f>_xlfn.XLOOKUP(source[[#This Row],[Vendor Name]],vendor[Vendor Name],vendor[Service Type],"")</f>
        <v>IT Services</v>
      </c>
      <c r="D11" s="4">
        <f>_xlfn.XLOOKUP(source[[#This Row],[Vendor Name]],vendor[Vendor Name],vendor[SLA (Days)],"")</f>
        <v>5</v>
      </c>
      <c r="E11" s="4" t="str">
        <f>_xlfn.XLOOKUP(source[[#This Row],[Vendor Name]],vendor[Vendor Name],vendor[Payment Terms],"")</f>
        <v>Net 45</v>
      </c>
    </row>
    <row r="12" spans="1:5" x14ac:dyDescent="0.3">
      <c r="A12" s="3" t="s">
        <v>47</v>
      </c>
      <c r="B12" s="3" t="s">
        <v>14</v>
      </c>
      <c r="C12" s="4" t="str">
        <f>_xlfn.XLOOKUP(source[[#This Row],[Vendor Name]],vendor[Vendor Name],vendor[Service Type],"")</f>
        <v>Consulting</v>
      </c>
      <c r="D12" s="4">
        <f>_xlfn.XLOOKUP(source[[#This Row],[Vendor Name]],vendor[Vendor Name],vendor[SLA (Days)],"")</f>
        <v>7</v>
      </c>
      <c r="E12" s="4" t="str">
        <f>_xlfn.XLOOKUP(source[[#This Row],[Vendor Name]],vendor[Vendor Name],vendor[Payment Terms],"")</f>
        <v>Net 60</v>
      </c>
    </row>
  </sheetData>
  <dataValidations count="1">
    <dataValidation type="list" allowBlank="1" showInputMessage="1" showErrorMessage="1" sqref="B2:B12" xr:uid="{C1D69D7F-701A-41AE-A813-7DED5AD1EAFB}">
      <formula1>Vendorlist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155F-44E2-4DC5-9B49-58C9C2FC5C6A}">
  <dimension ref="A1:D21"/>
  <sheetViews>
    <sheetView showGridLines="0" workbookViewId="0">
      <selection activeCell="A21" sqref="A21"/>
    </sheetView>
  </sheetViews>
  <sheetFormatPr defaultRowHeight="14.4" x14ac:dyDescent="0.3"/>
  <cols>
    <col min="1" max="1" width="14.109375" customWidth="1"/>
    <col min="2" max="2" width="16.77734375" bestFit="1" customWidth="1"/>
    <col min="3" max="3" width="11.6640625" customWidth="1"/>
    <col min="4" max="4" width="15.6640625" customWidth="1"/>
    <col min="6" max="6" width="11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2</v>
      </c>
      <c r="D2" s="2" t="s">
        <v>6</v>
      </c>
    </row>
    <row r="3" spans="1:4" x14ac:dyDescent="0.3">
      <c r="A3" s="2" t="s">
        <v>7</v>
      </c>
      <c r="B3" s="2" t="s">
        <v>5</v>
      </c>
      <c r="C3" s="2">
        <v>3</v>
      </c>
      <c r="D3" s="2" t="s">
        <v>6</v>
      </c>
    </row>
    <row r="4" spans="1:4" x14ac:dyDescent="0.3">
      <c r="A4" s="2" t="s">
        <v>8</v>
      </c>
      <c r="B4" s="2" t="s">
        <v>5</v>
      </c>
      <c r="C4" s="2">
        <v>2</v>
      </c>
      <c r="D4" s="2" t="s">
        <v>6</v>
      </c>
    </row>
    <row r="5" spans="1:4" x14ac:dyDescent="0.3">
      <c r="A5" s="2" t="s">
        <v>9</v>
      </c>
      <c r="B5" s="2" t="s">
        <v>10</v>
      </c>
      <c r="C5" s="2">
        <v>5</v>
      </c>
      <c r="D5" s="2" t="s">
        <v>11</v>
      </c>
    </row>
    <row r="6" spans="1:4" x14ac:dyDescent="0.3">
      <c r="A6" s="2" t="s">
        <v>12</v>
      </c>
      <c r="B6" s="2" t="s">
        <v>10</v>
      </c>
      <c r="C6" s="2">
        <v>6</v>
      </c>
      <c r="D6" s="2" t="s">
        <v>11</v>
      </c>
    </row>
    <row r="7" spans="1:4" x14ac:dyDescent="0.3">
      <c r="A7" s="2" t="s">
        <v>13</v>
      </c>
      <c r="B7" s="2" t="s">
        <v>10</v>
      </c>
      <c r="C7" s="2">
        <v>5</v>
      </c>
      <c r="D7" s="2" t="s">
        <v>11</v>
      </c>
    </row>
    <row r="8" spans="1:4" x14ac:dyDescent="0.3">
      <c r="A8" s="2" t="s">
        <v>14</v>
      </c>
      <c r="B8" s="2" t="s">
        <v>15</v>
      </c>
      <c r="C8" s="2">
        <v>7</v>
      </c>
      <c r="D8" s="2" t="s">
        <v>16</v>
      </c>
    </row>
    <row r="9" spans="1:4" x14ac:dyDescent="0.3">
      <c r="A9" s="2" t="s">
        <v>17</v>
      </c>
      <c r="B9" s="2" t="s">
        <v>15</v>
      </c>
      <c r="C9" s="2">
        <v>7</v>
      </c>
      <c r="D9" s="2" t="s">
        <v>16</v>
      </c>
    </row>
    <row r="10" spans="1:4" x14ac:dyDescent="0.3">
      <c r="A10" s="2" t="s">
        <v>18</v>
      </c>
      <c r="B10" s="2" t="s">
        <v>15</v>
      </c>
      <c r="C10" s="2">
        <v>7</v>
      </c>
      <c r="D10" s="2" t="s">
        <v>16</v>
      </c>
    </row>
    <row r="11" spans="1:4" x14ac:dyDescent="0.3">
      <c r="A11" s="2" t="s">
        <v>19</v>
      </c>
      <c r="B11" s="2" t="s">
        <v>15</v>
      </c>
      <c r="C11" s="2">
        <v>7</v>
      </c>
      <c r="D11" s="2" t="s">
        <v>16</v>
      </c>
    </row>
    <row r="12" spans="1:4" x14ac:dyDescent="0.3">
      <c r="A12" s="2" t="s">
        <v>20</v>
      </c>
      <c r="B12" s="2" t="s">
        <v>21</v>
      </c>
      <c r="C12" s="2">
        <v>1</v>
      </c>
      <c r="D12" s="2" t="s">
        <v>22</v>
      </c>
    </row>
    <row r="13" spans="1:4" x14ac:dyDescent="0.3">
      <c r="A13" s="2" t="s">
        <v>23</v>
      </c>
      <c r="B13" s="2" t="s">
        <v>21</v>
      </c>
      <c r="C13" s="2">
        <v>1</v>
      </c>
      <c r="D13" s="2" t="s">
        <v>22</v>
      </c>
    </row>
    <row r="14" spans="1:4" x14ac:dyDescent="0.3">
      <c r="A14" s="2" t="s">
        <v>24</v>
      </c>
      <c r="B14" s="2" t="s">
        <v>21</v>
      </c>
      <c r="C14" s="2">
        <v>2</v>
      </c>
      <c r="D14" s="2" t="s">
        <v>22</v>
      </c>
    </row>
    <row r="15" spans="1:4" x14ac:dyDescent="0.3">
      <c r="A15" s="2" t="s">
        <v>25</v>
      </c>
      <c r="B15" s="2" t="s">
        <v>26</v>
      </c>
      <c r="C15" s="2">
        <v>3</v>
      </c>
      <c r="D15" s="2" t="s">
        <v>6</v>
      </c>
    </row>
    <row r="16" spans="1:4" x14ac:dyDescent="0.3">
      <c r="A16" s="2" t="s">
        <v>27</v>
      </c>
      <c r="B16" s="2" t="s">
        <v>26</v>
      </c>
      <c r="C16" s="2">
        <v>3</v>
      </c>
      <c r="D16" s="2" t="s">
        <v>6</v>
      </c>
    </row>
    <row r="17" spans="1:4" x14ac:dyDescent="0.3">
      <c r="A17" s="2" t="s">
        <v>28</v>
      </c>
      <c r="B17" s="2" t="s">
        <v>26</v>
      </c>
      <c r="C17" s="2">
        <v>4</v>
      </c>
      <c r="D17" s="2" t="s">
        <v>6</v>
      </c>
    </row>
    <row r="18" spans="1:4" x14ac:dyDescent="0.3">
      <c r="A18" s="2" t="s">
        <v>29</v>
      </c>
      <c r="B18" s="2" t="s">
        <v>30</v>
      </c>
      <c r="C18" s="2">
        <v>4</v>
      </c>
      <c r="D18" s="2" t="s">
        <v>11</v>
      </c>
    </row>
    <row r="19" spans="1:4" x14ac:dyDescent="0.3">
      <c r="A19" s="2" t="s">
        <v>31</v>
      </c>
      <c r="B19" s="2" t="s">
        <v>30</v>
      </c>
      <c r="C19" s="2">
        <v>4</v>
      </c>
      <c r="D19" s="2" t="s">
        <v>11</v>
      </c>
    </row>
    <row r="20" spans="1:4" x14ac:dyDescent="0.3">
      <c r="A20" s="2" t="s">
        <v>32</v>
      </c>
      <c r="B20" s="2" t="s">
        <v>33</v>
      </c>
      <c r="C20" s="2">
        <v>5</v>
      </c>
      <c r="D20" s="2" t="s">
        <v>16</v>
      </c>
    </row>
    <row r="21" spans="1:4" x14ac:dyDescent="0.3">
      <c r="A21" s="2" t="s">
        <v>34</v>
      </c>
      <c r="B21" s="2" t="s">
        <v>35</v>
      </c>
      <c r="C21" s="2">
        <v>3</v>
      </c>
      <c r="D21" s="2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Vendorlist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Aashish Soni</dc:creator>
  <cp:lastModifiedBy>Aashish Soni</cp:lastModifiedBy>
  <dcterms:created xsi:type="dcterms:W3CDTF">2025-12-24T14:31:57Z</dcterms:created>
  <dcterms:modified xsi:type="dcterms:W3CDTF">2025-12-31T08:23:55Z</dcterms:modified>
</cp:coreProperties>
</file>