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shish Soni\Downloads\"/>
    </mc:Choice>
  </mc:AlternateContent>
  <xr:revisionPtr revIDLastSave="0" documentId="13_ncr:1_{608EFB5F-A71A-4F86-BFE1-EDE4C916B445}" xr6:coauthVersionLast="47" xr6:coauthVersionMax="47" xr10:uidLastSave="{00000000-0000-0000-0000-000000000000}"/>
  <bookViews>
    <workbookView xWindow="-108" yWindow="-108" windowWidth="23256" windowHeight="12456" xr2:uid="{E14C6379-47E5-4611-B578-866AAAB9F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F2" i="1" a="1"/>
  <c r="E2" i="1" a="1"/>
  <c r="G2" i="1" l="1"/>
  <c r="K16" i="1" a="1"/>
  <c r="K16" i="1" s="1"/>
  <c r="F2" i="1"/>
  <c r="E2" i="1"/>
  <c r="K13" i="1"/>
  <c r="J13" i="1" l="1"/>
  <c r="J16" i="1" a="1"/>
  <c r="J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<sst xmlns="http://schemas.openxmlformats.org/spreadsheetml/2006/main" count="72" uniqueCount="39">
  <si>
    <t>Expense Type</t>
  </si>
  <si>
    <t>Sub Expense Type</t>
  </si>
  <si>
    <t>Expense Nature</t>
  </si>
  <si>
    <t>Meals</t>
  </si>
  <si>
    <t>Snacks</t>
  </si>
  <si>
    <t>Late Working Hours</t>
  </si>
  <si>
    <t>IT</t>
  </si>
  <si>
    <t>Hardware</t>
  </si>
  <si>
    <t>New Joiner Setup</t>
  </si>
  <si>
    <t>Travel</t>
  </si>
  <si>
    <t>Hotel</t>
  </si>
  <si>
    <t>Client Visit</t>
  </si>
  <si>
    <t>Office</t>
  </si>
  <si>
    <t>Stationery</t>
  </si>
  <si>
    <t>Daily Operations</t>
  </si>
  <si>
    <t>Client Dinner</t>
  </si>
  <si>
    <t>Client Entertainment</t>
  </si>
  <si>
    <t>Cloud Subscription</t>
  </si>
  <si>
    <t>Project Requirement</t>
  </si>
  <si>
    <t>Taxi</t>
  </si>
  <si>
    <t>Local Commute</t>
  </si>
  <si>
    <t>Furniture</t>
  </si>
  <si>
    <t>Office Setup</t>
  </si>
  <si>
    <t>Breakfast</t>
  </si>
  <si>
    <t>Training Day</t>
  </si>
  <si>
    <t>Flight</t>
  </si>
  <si>
    <t>Software License</t>
  </si>
  <si>
    <t>Compliance Requirement</t>
  </si>
  <si>
    <t>Printer</t>
  </si>
  <si>
    <t>Asset Replacement</t>
  </si>
  <si>
    <t>Team Lunch</t>
  </si>
  <si>
    <t>Internal Meeting</t>
  </si>
  <si>
    <t>Visa Fees</t>
  </si>
  <si>
    <t>Overseas Assignment</t>
  </si>
  <si>
    <t>Office Supplies</t>
  </si>
  <si>
    <t>Team Overtime</t>
  </si>
  <si>
    <t>Training Program</t>
  </si>
  <si>
    <t>Infrastructure Upgrade</t>
  </si>
  <si>
    <t>New Floor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</si>
</sst>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</cellXfs>
  <cellStyles count="1">
    <cellStyle name="Normal" xfId="0" builtinId="0"/>
  </cellStyles>
  <dxfs count="7"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63F295-BD89-4392-A223-84FCA36703B9}" name="Data" displayName="Data" ref="A1:C21" totalsRowShown="0" headerRowDxfId="6" headerRowBorderDxfId="5" tableBorderDxfId="4" totalsRowBorderDxfId="3">
  <autoFilter ref="A1:C21" xr:uid="{1663F295-BD89-4392-A223-84FCA36703B9}"/>
  <tableColumns count="3">
    <tableColumn id="1" xr3:uid="{11BB0E62-9654-49EF-9004-922923C9BF56}" name="Expense Type" dataDxfId="2"/>
    <tableColumn id="2" xr3:uid="{AE735200-8F87-4794-9D07-BDA693B2C47D}" name="Sub Expense Type" dataDxfId="1"/>
    <tableColumn id="3" xr3:uid="{C31A770C-7FCC-49D9-8103-C590C715BCB6}" name="Expense Natu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0A42-81F2-474F-B319-F02EDEF012BF}">
  <dimension ref="A1:L21"/>
  <sheetViews>
    <sheetView showGridLines="0" tabSelected="1" workbookViewId="0">
      <selection activeCell="I14" sqref="I14"/>
    </sheetView>
  </sheetViews>
  <sheetFormatPr defaultRowHeight="14.4" x14ac:dyDescent="0.3"/>
  <cols>
    <col min="1" max="1" width="14" customWidth="1"/>
    <col min="2" max="2" width="17.5546875" customWidth="1"/>
    <col min="3" max="3" width="21.6640625" bestFit="1" customWidth="1"/>
    <col min="5" max="5" width="12.109375" bestFit="1" customWidth="1"/>
    <col min="6" max="6" width="16.109375" bestFit="1" customWidth="1"/>
    <col min="7" max="7" width="21.6640625" bestFit="1" customWidth="1"/>
    <col min="10" max="10" width="12.109375" bestFit="1" customWidth="1"/>
    <col min="11" max="11" width="15.77734375" bestFit="1" customWidth="1"/>
    <col min="12" max="12" width="14" bestFit="1" customWidth="1"/>
  </cols>
  <sheetData>
    <row r="1" spans="1:12" x14ac:dyDescent="0.3">
      <c r="A1" s="5" t="s">
        <v>0</v>
      </c>
      <c r="B1" s="6" t="s">
        <v>1</v>
      </c>
      <c r="C1" s="7" t="s">
        <v>2</v>
      </c>
      <c r="E1" s="2" t="s">
        <v>0</v>
      </c>
      <c r="F1" s="2" t="s">
        <v>1</v>
      </c>
      <c r="G1" s="2" t="s">
        <v>2</v>
      </c>
      <c r="J1" s="2" t="s">
        <v>0</v>
      </c>
      <c r="K1" s="2" t="s">
        <v>1</v>
      </c>
      <c r="L1" s="2" t="s">
        <v>2</v>
      </c>
    </row>
    <row r="2" spans="1:12" x14ac:dyDescent="0.3">
      <c r="A2" s="3" t="s">
        <v>3</v>
      </c>
      <c r="B2" s="1" t="s">
        <v>4</v>
      </c>
      <c r="C2" s="4" t="s">
        <v>5</v>
      </c>
      <c r="E2" t="str" cm="1">
        <f t="array" ref="E2:E21">_xlfn.CHOOSECOLS(_xlfn._xlws.SORT(Data[],{1,2,3}),1)</f>
        <v>IT</v>
      </c>
      <c r="F2" t="str" cm="1">
        <f t="array" ref="F2:F21">_xlfn.CHOOSECOLS(_xlfn._xlws.SORT(Data[],{1,2,3}),2)</f>
        <v>Cloud Subscription</v>
      </c>
      <c r="G2" t="str" cm="1">
        <f t="array" ref="G2:G21">_xlfn.CHOOSECOLS(_xlfn._xlws.SORT(Data[],{1,2,3}),3)</f>
        <v>Infrastructure Upgrade</v>
      </c>
      <c r="J2" t="s">
        <v>9</v>
      </c>
      <c r="K2" t="s">
        <v>10</v>
      </c>
      <c r="L2" t="s">
        <v>36</v>
      </c>
    </row>
    <row r="3" spans="1:12" x14ac:dyDescent="0.3">
      <c r="A3" s="3" t="s">
        <v>6</v>
      </c>
      <c r="B3" s="1" t="s">
        <v>7</v>
      </c>
      <c r="C3" s="4" t="s">
        <v>8</v>
      </c>
      <c r="E3" t="str">
        <v>IT</v>
      </c>
      <c r="F3" t="str">
        <v>Cloud Subscription</v>
      </c>
      <c r="G3" t="str">
        <v>Project Requirement</v>
      </c>
    </row>
    <row r="4" spans="1:12" x14ac:dyDescent="0.3">
      <c r="A4" s="3" t="s">
        <v>9</v>
      </c>
      <c r="B4" s="1" t="s">
        <v>10</v>
      </c>
      <c r="C4" s="4" t="s">
        <v>11</v>
      </c>
      <c r="E4" t="str">
        <v>IT</v>
      </c>
      <c r="F4" t="str">
        <v>Hardware</v>
      </c>
      <c r="G4" t="str">
        <v>Asset Replacement</v>
      </c>
    </row>
    <row r="5" spans="1:12" x14ac:dyDescent="0.3">
      <c r="A5" s="3" t="s">
        <v>12</v>
      </c>
      <c r="B5" s="1" t="s">
        <v>13</v>
      </c>
      <c r="C5" s="4" t="s">
        <v>14</v>
      </c>
      <c r="E5" t="str">
        <v>IT</v>
      </c>
      <c r="F5" t="str">
        <v>Hardware</v>
      </c>
      <c r="G5" t="str">
        <v>New Joiner Setup</v>
      </c>
    </row>
    <row r="6" spans="1:12" x14ac:dyDescent="0.3">
      <c r="A6" s="3" t="s">
        <v>3</v>
      </c>
      <c r="B6" s="1" t="s">
        <v>15</v>
      </c>
      <c r="C6" s="4" t="s">
        <v>16</v>
      </c>
      <c r="E6" t="str">
        <v>IT</v>
      </c>
      <c r="F6" t="str">
        <v>Software License</v>
      </c>
      <c r="G6" t="str">
        <v>Compliance Requirement</v>
      </c>
    </row>
    <row r="7" spans="1:12" x14ac:dyDescent="0.3">
      <c r="A7" s="3" t="s">
        <v>6</v>
      </c>
      <c r="B7" s="1" t="s">
        <v>17</v>
      </c>
      <c r="C7" s="4" t="s">
        <v>18</v>
      </c>
      <c r="E7" t="str">
        <v>Meals</v>
      </c>
      <c r="F7" t="str">
        <v>Breakfast</v>
      </c>
      <c r="G7" t="str">
        <v>Training Day</v>
      </c>
    </row>
    <row r="8" spans="1:12" x14ac:dyDescent="0.3">
      <c r="A8" s="3" t="s">
        <v>9</v>
      </c>
      <c r="B8" s="1" t="s">
        <v>19</v>
      </c>
      <c r="C8" s="4" t="s">
        <v>20</v>
      </c>
      <c r="E8" t="str">
        <v>Meals</v>
      </c>
      <c r="F8" t="str">
        <v>Client Dinner</v>
      </c>
      <c r="G8" t="str">
        <v>Client Entertainment</v>
      </c>
    </row>
    <row r="9" spans="1:12" x14ac:dyDescent="0.3">
      <c r="A9" s="3" t="s">
        <v>12</v>
      </c>
      <c r="B9" s="1" t="s">
        <v>21</v>
      </c>
      <c r="C9" s="4" t="s">
        <v>22</v>
      </c>
      <c r="E9" t="str">
        <v>Meals</v>
      </c>
      <c r="F9" t="str">
        <v>Snacks</v>
      </c>
      <c r="G9" t="str">
        <v>Late Working Hours</v>
      </c>
    </row>
    <row r="10" spans="1:12" x14ac:dyDescent="0.3">
      <c r="A10" s="3" t="s">
        <v>3</v>
      </c>
      <c r="B10" s="1" t="s">
        <v>23</v>
      </c>
      <c r="C10" s="4" t="s">
        <v>24</v>
      </c>
      <c r="E10" t="str">
        <v>Meals</v>
      </c>
      <c r="F10" t="str">
        <v>Snacks</v>
      </c>
      <c r="G10" t="str">
        <v>Team Overtime</v>
      </c>
    </row>
    <row r="11" spans="1:12" x14ac:dyDescent="0.3">
      <c r="A11" s="3" t="s">
        <v>9</v>
      </c>
      <c r="B11" s="1" t="s">
        <v>25</v>
      </c>
      <c r="C11" s="4" t="s">
        <v>11</v>
      </c>
      <c r="E11" t="str">
        <v>Meals</v>
      </c>
      <c r="F11" t="str">
        <v>Team Lunch</v>
      </c>
      <c r="G11" t="str">
        <v>Internal Meeting</v>
      </c>
    </row>
    <row r="12" spans="1:12" x14ac:dyDescent="0.3">
      <c r="A12" s="3" t="s">
        <v>6</v>
      </c>
      <c r="B12" s="1" t="s">
        <v>26</v>
      </c>
      <c r="C12" s="4" t="s">
        <v>27</v>
      </c>
      <c r="E12" t="str">
        <v>Office</v>
      </c>
      <c r="F12" t="str">
        <v>Furniture</v>
      </c>
      <c r="G12" t="str">
        <v>New Floor Setup</v>
      </c>
    </row>
    <row r="13" spans="1:12" x14ac:dyDescent="0.3">
      <c r="A13" s="3" t="s">
        <v>12</v>
      </c>
      <c r="B13" s="1" t="s">
        <v>28</v>
      </c>
      <c r="C13" s="4" t="s">
        <v>29</v>
      </c>
      <c r="E13" t="str">
        <v>Office</v>
      </c>
      <c r="F13" t="str">
        <v>Furniture</v>
      </c>
      <c r="G13" t="str">
        <v>Office Setup</v>
      </c>
      <c r="J13">
        <f>_xlfn.XMATCH(J2,_xlfn.ANCHORARRAY($E$2),0)</f>
        <v>16</v>
      </c>
      <c r="K13">
        <f>_xlfn.XMATCH(J2,_xlfn.ANCHORARRAY($E$2),0,-1)</f>
        <v>20</v>
      </c>
    </row>
    <row r="14" spans="1:12" x14ac:dyDescent="0.3">
      <c r="A14" s="3" t="s">
        <v>3</v>
      </c>
      <c r="B14" s="1" t="s">
        <v>30</v>
      </c>
      <c r="C14" s="4" t="s">
        <v>31</v>
      </c>
      <c r="E14" t="str">
        <v>Office</v>
      </c>
      <c r="F14" t="str">
        <v>Office Supplies</v>
      </c>
      <c r="G14" t="str">
        <v>Daily Operations</v>
      </c>
    </row>
    <row r="15" spans="1:12" x14ac:dyDescent="0.3">
      <c r="A15" s="3" t="s">
        <v>9</v>
      </c>
      <c r="B15" s="1" t="s">
        <v>32</v>
      </c>
      <c r="C15" s="4" t="s">
        <v>33</v>
      </c>
      <c r="E15" t="str">
        <v>Office</v>
      </c>
      <c r="F15" t="str">
        <v>Printer</v>
      </c>
      <c r="G15" t="str">
        <v>Asset Replacement</v>
      </c>
    </row>
    <row r="16" spans="1:12" x14ac:dyDescent="0.3">
      <c r="A16" s="3" t="s">
        <v>6</v>
      </c>
      <c r="B16" s="1" t="s">
        <v>7</v>
      </c>
      <c r="C16" s="4" t="s">
        <v>29</v>
      </c>
      <c r="E16" t="str">
        <v>Office</v>
      </c>
      <c r="F16" t="str">
        <v>Stationery</v>
      </c>
      <c r="G16" t="str">
        <v>Daily Operations</v>
      </c>
      <c r="J16" t="str" cm="1">
        <f t="array" ref="J16:J20">_xlfn.DROP(_xlfn.TAKE(_xlfn.ANCHORARRAY($F$2),_xlfn.XMATCH(J2,_xlfn.ANCHORARRAY($E$2),0,-1)),_xlfn.XMATCH(J2,_xlfn.ANCHORARRAY($E$2),0)-1)</f>
        <v>Flight</v>
      </c>
      <c r="K16" t="str" cm="1">
        <f t="array" ref="K16:K17">_xlfn.DROP(_xlfn.TAKE(_xlfn.ANCHORARRAY($G$2),_xlfn.XMATCH(K2,_xlfn.ANCHORARRAY($F$2),0,-1)),_xlfn.XMATCH(K2,_xlfn.ANCHORARRAY($F$2),0)-1)</f>
        <v>Client Visit</v>
      </c>
    </row>
    <row r="17" spans="1:11" x14ac:dyDescent="0.3">
      <c r="A17" s="3" t="s">
        <v>12</v>
      </c>
      <c r="B17" s="1" t="s">
        <v>34</v>
      </c>
      <c r="C17" s="4" t="s">
        <v>14</v>
      </c>
      <c r="E17" t="str">
        <v>Travel</v>
      </c>
      <c r="F17" t="str">
        <v>Flight</v>
      </c>
      <c r="G17" t="str">
        <v>Client Visit</v>
      </c>
      <c r="J17" t="str">
        <v>Hotel</v>
      </c>
      <c r="K17" t="str">
        <v>Training Program</v>
      </c>
    </row>
    <row r="18" spans="1:11" x14ac:dyDescent="0.3">
      <c r="A18" s="3" t="s">
        <v>3</v>
      </c>
      <c r="B18" s="1" t="s">
        <v>4</v>
      </c>
      <c r="C18" s="4" t="s">
        <v>35</v>
      </c>
      <c r="E18" t="str">
        <v>Travel</v>
      </c>
      <c r="F18" t="str">
        <v>Hotel</v>
      </c>
      <c r="G18" t="str">
        <v>Client Visit</v>
      </c>
      <c r="J18" t="str">
        <v>Hotel</v>
      </c>
    </row>
    <row r="19" spans="1:11" x14ac:dyDescent="0.3">
      <c r="A19" s="3" t="s">
        <v>9</v>
      </c>
      <c r="B19" s="1" t="s">
        <v>10</v>
      </c>
      <c r="C19" s="4" t="s">
        <v>36</v>
      </c>
      <c r="E19" t="str">
        <v>Travel</v>
      </c>
      <c r="F19" t="str">
        <v>Hotel</v>
      </c>
      <c r="G19" t="str">
        <v>Training Program</v>
      </c>
      <c r="J19" t="str">
        <v>Taxi</v>
      </c>
    </row>
    <row r="20" spans="1:11" x14ac:dyDescent="0.3">
      <c r="A20" s="3" t="s">
        <v>6</v>
      </c>
      <c r="B20" s="1" t="s">
        <v>17</v>
      </c>
      <c r="C20" s="4" t="s">
        <v>37</v>
      </c>
      <c r="E20" t="str">
        <v>Travel</v>
      </c>
      <c r="F20" t="str">
        <v>Taxi</v>
      </c>
      <c r="G20" t="str">
        <v>Local Commute</v>
      </c>
      <c r="J20" t="str">
        <v>Visa Fees</v>
      </c>
    </row>
    <row r="21" spans="1:11" x14ac:dyDescent="0.3">
      <c r="A21" s="8" t="s">
        <v>12</v>
      </c>
      <c r="B21" s="9" t="s">
        <v>21</v>
      </c>
      <c r="C21" s="10" t="s">
        <v>38</v>
      </c>
      <c r="E21" t="str">
        <v>Travel</v>
      </c>
      <c r="F21" t="str">
        <v>Visa Fees</v>
      </c>
      <c r="G21" t="str">
        <v>Overseas Assignment</v>
      </c>
    </row>
  </sheetData>
  <dataValidations count="3">
    <dataValidation type="list" allowBlank="1" showInputMessage="1" showErrorMessage="1" sqref="J2:J9" xr:uid="{DD30622D-EC3B-4041-A8B7-237E2DFC11C7}">
      <formula1>_xlfn.ANCHORARRAY($E$2)</formula1>
    </dataValidation>
    <dataValidation type="list" allowBlank="1" showInputMessage="1" showErrorMessage="1" sqref="K2:K8" xr:uid="{67287EF5-1EE6-4609-A518-1D784E9A8FEA}">
      <formula1>_xlfn.DROP(_xlfn.TAKE(_xlfn.ANCHORARRAY($F$2),_xlfn.XMATCH(J2,_xlfn.ANCHORARRAY($E$2),0,-1)),_xlfn.XMATCH(J2,_xlfn.ANCHORARRAY($E$2),0)-1)</formula1>
    </dataValidation>
    <dataValidation type="list" allowBlank="1" showInputMessage="1" showErrorMessage="1" sqref="L2:L7" xr:uid="{7F42A120-84EF-4745-ABD8-BC811143341E}">
      <formula1>_xlfn.DROP(_xlfn.TAKE(_xlfn.ANCHORARRAY($G$2),_xlfn.XMATCH(K2,_xlfn.ANCHORARRAY($F$2),0,-1)),_xlfn.XMATCH(K2,_xlfn.ANCHORARRAY($F$2),0)-1)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Soni</dc:creator>
  <cp:lastModifiedBy>Aashish Soni</cp:lastModifiedBy>
  <dcterms:created xsi:type="dcterms:W3CDTF">2025-12-23T18:06:06Z</dcterms:created>
  <dcterms:modified xsi:type="dcterms:W3CDTF">2025-12-24T15:05:15Z</dcterms:modified>
</cp:coreProperties>
</file>